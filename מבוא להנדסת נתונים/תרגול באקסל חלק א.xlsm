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USER\Desktop\ניצן אוניברסיטה שנה א\מבוא להנדסת נתונים\"/>
    </mc:Choice>
  </mc:AlternateContent>
  <xr:revisionPtr revIDLastSave="0" documentId="13_ncr:1_{D177B6A6-C019-4E19-8AF9-E79841FAAB3D}" xr6:coauthVersionLast="41" xr6:coauthVersionMax="41" xr10:uidLastSave="{00000000-0000-0000-0000-000000000000}"/>
  <bookViews>
    <workbookView xWindow="-108" yWindow="-108" windowWidth="23256" windowHeight="12576" tabRatio="858" firstSheet="1" activeTab="9" xr2:uid="{00000000-000D-0000-FFFF-FFFF00000000}"/>
  </bookViews>
  <sheets>
    <sheet name="Sheet1" sheetId="1" state="hidden" r:id="rId1"/>
    <sheet name="נוסחאות " sheetId="7" r:id="rId2"/>
    <sheet name="פונקציות" sheetId="8" r:id="rId3"/>
    <sheet name="פונקציות2" sheetId="18" r:id="rId4"/>
    <sheet name="מיון ו-vlookup" sheetId="30" r:id="rId5"/>
    <sheet name="חזרה מסכמת" sheetId="9" r:id="rId6"/>
    <sheet name="גרפים 1" sheetId="11" r:id="rId7"/>
    <sheet name="גרפים 2" sheetId="13" r:id="rId8"/>
    <sheet name="גרפים 3" sheetId="20" r:id="rId9"/>
    <sheet name="גרפים 4" sheetId="19" r:id="rId10"/>
    <sheet name="חתירה למטרה" sheetId="23" state="hidden" r:id="rId11"/>
    <sheet name="פונקציה מותאמת אישית" sheetId="24" state="hidden" r:id="rId12"/>
  </sheets>
  <functionGroups builtInGroupCount="19"/>
  <definedNames>
    <definedName name="_xlnm._FilterDatabase" localSheetId="4" hidden="1">'מיון ו-vlookup'!$R$3:$W$56</definedName>
    <definedName name="_xlchart.v1.0" hidden="1">'גרפים 1'!$H$4:$H$13</definedName>
    <definedName name="_xlchart.v1.1" hidden="1">'גרפים 1'!$I$4:$I$13</definedName>
    <definedName name="_xlchart.v1.2" hidden="1">'גרפים 1'!$H$4:$H$13</definedName>
    <definedName name="_xlchart.v1.3" hidden="1">'גרפים 1'!$I$4:$I$13</definedName>
    <definedName name="Customers">#REF!</definedName>
    <definedName name="solver_adj" localSheetId="10" hidden="1">'חתירה למטרה'!$D$2:$D$7</definedName>
    <definedName name="solver_cvg" localSheetId="10" hidden="1">0.001</definedName>
    <definedName name="solver_drv" localSheetId="10" hidden="1">1</definedName>
    <definedName name="solver_est" localSheetId="10" hidden="1">1</definedName>
    <definedName name="solver_itr" localSheetId="10" hidden="1">100</definedName>
    <definedName name="solver_lhs1" localSheetId="10" hidden="1">'חתירה למטרה'!$E$9</definedName>
    <definedName name="solver_lhs2" localSheetId="10" hidden="1">'חתירה למטרה'!$E$2:$E$7</definedName>
    <definedName name="solver_lhs3" localSheetId="10" hidden="1">'חתירה למטרה'!$E$9</definedName>
    <definedName name="solver_lhs4" localSheetId="10" hidden="1">'חתירה למטרה'!$F$2:$F$7</definedName>
    <definedName name="solver_lhs5" localSheetId="10" hidden="1">'חתירה למטרה'!$G$8</definedName>
    <definedName name="solver_lhs6" localSheetId="10" hidden="1">'חתירה למטרה'!$D$2:$D$7</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'חתירה למטרה'!$E$8</definedName>
    <definedName name="solver_pre" localSheetId="10" hidden="1">0.000001</definedName>
    <definedName name="solver_rel1" localSheetId="10" hidden="1">1</definedName>
    <definedName name="solver_rel2" localSheetId="10" hidden="1">1</definedName>
    <definedName name="solver_rel3" localSheetId="10" hidden="1">1</definedName>
    <definedName name="solver_rel4" localSheetId="10" hidden="1">1</definedName>
    <definedName name="solver_rel5" localSheetId="10" hidden="1">3</definedName>
    <definedName name="solver_rel6" localSheetId="10" hidden="1">4</definedName>
    <definedName name="solver_rhs1" localSheetId="10" hidden="1">7500000</definedName>
    <definedName name="solver_rhs2" localSheetId="10" hidden="1">'חתירה למטרה'!$G$11</definedName>
    <definedName name="solver_rhs3" localSheetId="10" hidden="1">7500000</definedName>
    <definedName name="solver_rhs4" localSheetId="10" hidden="1">0.33</definedName>
    <definedName name="solver_rhs5" localSheetId="10" hidden="1">'חתירה למטרה'!$G$12</definedName>
    <definedName name="solver_rhs6" localSheetId="10" hidden="1">integer</definedName>
    <definedName name="solver_scl" localSheetId="10" hidden="1">2</definedName>
    <definedName name="solver_sho" localSheetId="10" hidden="1">2</definedName>
    <definedName name="solver_tim" localSheetId="10" hidden="1">100</definedName>
    <definedName name="solver_tol" localSheetId="10" hidden="1">0.05</definedName>
    <definedName name="solver_typ" localSheetId="10" hidden="1">2</definedName>
    <definedName name="solver_val" localSheetId="10" hidden="1">0</definedName>
    <definedName name="אינטל___4">#REF!</definedName>
    <definedName name="הוצאות_ישירות">#REF!</definedName>
    <definedName name="הכ">#REF!</definedName>
    <definedName name="הכנסה">#REF!</definedName>
    <definedName name="מבנה">#REF!</definedName>
    <definedName name="ממוצע_ביקורים">#REF!</definedName>
    <definedName name="מצרכים">#REF!</definedName>
    <definedName name="משכורות">#REF!</definedName>
    <definedName name="עלות_כללית">'חתירה למטרה'!$E$8</definedName>
    <definedName name="פחת">#REF!</definedName>
    <definedName name="פרסום">#REF!</definedName>
    <definedName name="שונות">#REF!</definedName>
    <definedName name="שם_משמעותי">#REF!</definedName>
    <definedName name="תפוצת_קוראים">'חתירה למטרה'!$G$8</definedName>
    <definedName name="תקציב_עיתון_3_4">'חתירה למטרה'!$E$9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 i="11" l="1"/>
  <c r="L17" i="30" l="1"/>
  <c r="L18" i="30"/>
  <c r="L19" i="30"/>
  <c r="L20" i="30"/>
  <c r="L21" i="30"/>
  <c r="L22" i="30"/>
  <c r="L23" i="30"/>
  <c r="L24" i="30"/>
  <c r="L25" i="30"/>
  <c r="L26" i="30"/>
  <c r="L16" i="30"/>
  <c r="G11" i="9"/>
  <c r="G12" i="9"/>
  <c r="G13" i="9"/>
  <c r="G14" i="9"/>
  <c r="G15" i="9"/>
  <c r="G10" i="9"/>
  <c r="L12" i="30"/>
  <c r="K17" i="30"/>
  <c r="K18" i="30"/>
  <c r="K19" i="30"/>
  <c r="K20" i="30"/>
  <c r="K21" i="30"/>
  <c r="K22" i="30"/>
  <c r="K23" i="30"/>
  <c r="K24" i="30"/>
  <c r="K25" i="30"/>
  <c r="K26" i="30"/>
  <c r="K16" i="30"/>
  <c r="L9" i="30"/>
  <c r="M25" i="18"/>
  <c r="M24" i="18"/>
  <c r="M23" i="18"/>
  <c r="M22" i="18"/>
  <c r="M21" i="18"/>
  <c r="M20" i="18"/>
  <c r="M9" i="18"/>
  <c r="M7" i="18"/>
  <c r="M10" i="18"/>
  <c r="G16" i="9" l="1"/>
  <c r="K6" i="8"/>
  <c r="K7" i="8"/>
  <c r="K8" i="8"/>
  <c r="K9" i="8"/>
  <c r="K10" i="8"/>
  <c r="K5" i="8"/>
  <c r="H5" i="8"/>
  <c r="I5" i="8" s="1"/>
  <c r="E36" i="8"/>
  <c r="E37" i="8"/>
  <c r="E38" i="8"/>
  <c r="E39" i="8"/>
  <c r="E35" i="8"/>
  <c r="H6" i="8"/>
  <c r="I6" i="8" s="1"/>
  <c r="J6" i="8" s="1"/>
  <c r="H7" i="8"/>
  <c r="I7" i="8" s="1"/>
  <c r="J7" i="8" s="1"/>
  <c r="H8" i="8"/>
  <c r="I8" i="8" s="1"/>
  <c r="J8" i="8" s="1"/>
  <c r="H9" i="8"/>
  <c r="I9" i="8" s="1"/>
  <c r="J9" i="8" s="1"/>
  <c r="H10" i="8"/>
  <c r="I10" i="8" s="1"/>
  <c r="J10" i="8" s="1"/>
  <c r="G6" i="8"/>
  <c r="G7" i="8"/>
  <c r="G8" i="8"/>
  <c r="G9" i="8"/>
  <c r="G10" i="8"/>
  <c r="G5" i="8"/>
  <c r="H16" i="7"/>
  <c r="H15" i="7"/>
  <c r="H14" i="7"/>
  <c r="H13" i="7"/>
  <c r="H12" i="7"/>
  <c r="H11" i="7"/>
  <c r="H10" i="7"/>
  <c r="H9" i="7"/>
  <c r="E30" i="8" l="1"/>
  <c r="D30" i="8"/>
  <c r="J5" i="8"/>
  <c r="H8" i="7"/>
  <c r="F30" i="8" l="1"/>
  <c r="D31" i="8" s="1"/>
  <c r="F31" i="8" s="1"/>
  <c r="E31" i="8"/>
  <c r="M8" i="18"/>
  <c r="C17" i="20" l="1"/>
  <c r="C18" i="20"/>
  <c r="C19" i="20"/>
  <c r="C20" i="20"/>
  <c r="C21" i="20"/>
  <c r="C22" i="20"/>
  <c r="C23" i="20"/>
  <c r="C24" i="20"/>
  <c r="C25" i="20"/>
  <c r="C26" i="20"/>
  <c r="C10" i="9" l="1"/>
  <c r="J5" i="11" l="1"/>
  <c r="J6" i="11"/>
  <c r="J7" i="11"/>
  <c r="J8" i="11"/>
  <c r="J9" i="11"/>
  <c r="J10" i="11"/>
  <c r="J11" i="11"/>
  <c r="J12" i="11"/>
  <c r="J13" i="11"/>
  <c r="J4" i="11"/>
  <c r="C15" i="9" l="1"/>
  <c r="C12" i="9"/>
  <c r="C11" i="9" l="1"/>
  <c r="C13" i="9"/>
  <c r="C14" i="9"/>
  <c r="E3" i="23"/>
  <c r="E2" i="23"/>
  <c r="E4" i="23"/>
  <c r="E5" i="23"/>
  <c r="E6" i="23"/>
  <c r="E7" i="23"/>
  <c r="G3" i="23"/>
  <c r="G4" i="23"/>
  <c r="G5" i="23"/>
  <c r="G6" i="23"/>
  <c r="G7" i="23"/>
  <c r="G2" i="23"/>
  <c r="I3" i="23"/>
  <c r="I4" i="23" s="1"/>
  <c r="E6" i="24"/>
  <c r="E9" i="24"/>
  <c r="E8" i="24"/>
  <c r="E10" i="24"/>
  <c r="E7" i="24"/>
  <c r="E11" i="24"/>
  <c r="E12" i="24"/>
  <c r="C16" i="9" l="1"/>
  <c r="C18" i="9" s="1"/>
  <c r="F8" i="24"/>
  <c r="F12" i="24"/>
  <c r="F9" i="24"/>
  <c r="F11" i="24"/>
  <c r="F7" i="24"/>
  <c r="F10" i="24"/>
  <c r="F6" i="24"/>
  <c r="E9" i="23"/>
  <c r="G8" i="23"/>
  <c r="E8" i="23"/>
  <c r="F5" i="23" s="1"/>
  <c r="F7" i="23" l="1"/>
  <c r="F6" i="23"/>
  <c r="F4" i="23"/>
  <c r="F2" i="23"/>
  <c r="F3" i="23"/>
</calcChain>
</file>

<file path=xl/sharedStrings.xml><?xml version="1.0" encoding="utf-8"?>
<sst xmlns="http://schemas.openxmlformats.org/spreadsheetml/2006/main" count="404" uniqueCount="254">
  <si>
    <t>כמות</t>
  </si>
  <si>
    <t>100+200</t>
  </si>
  <si>
    <t>92-3</t>
  </si>
  <si>
    <t>200/4</t>
  </si>
  <si>
    <t>100+4+3</t>
  </si>
  <si>
    <t>200+100*3</t>
  </si>
  <si>
    <t>(200+100)*3</t>
  </si>
  <si>
    <t>3*5.5</t>
  </si>
  <si>
    <t>תרגיל</t>
  </si>
  <si>
    <t>תוצאה</t>
  </si>
  <si>
    <t>שם התלמיד</t>
  </si>
  <si>
    <t>מעמד</t>
  </si>
  <si>
    <t>יונתן</t>
  </si>
  <si>
    <t>ממוצע</t>
  </si>
  <si>
    <t>נכשלו</t>
  </si>
  <si>
    <t>סה"כ סטודנטים</t>
  </si>
  <si>
    <t xml:space="preserve">מספר </t>
  </si>
  <si>
    <t>אחוז</t>
  </si>
  <si>
    <t>סעיף ניכוי</t>
  </si>
  <si>
    <t>אחוז ניכוי</t>
  </si>
  <si>
    <t>ניכוי בסעיף</t>
  </si>
  <si>
    <t>מס הכנסה</t>
  </si>
  <si>
    <t>ביטוח לאומי</t>
  </si>
  <si>
    <t>מס בריאות</t>
  </si>
  <si>
    <t>מס אחיד</t>
  </si>
  <si>
    <t>ביטוח מנהלים</t>
  </si>
  <si>
    <t>קרן גמלאות</t>
  </si>
  <si>
    <t>סעיף זיכוי</t>
  </si>
  <si>
    <t>אחוז זיכוי</t>
  </si>
  <si>
    <t>זיכוי בסעיף</t>
  </si>
  <si>
    <t>שעות נוספות</t>
  </si>
  <si>
    <t>תוספת ותק</t>
  </si>
  <si>
    <t>שימוש בטלפון</t>
  </si>
  <si>
    <t>אחזקת רכב</t>
  </si>
  <si>
    <t>דמי ביגוד</t>
  </si>
  <si>
    <t>דמי הבראה</t>
  </si>
  <si>
    <t>שכר ברוטו:</t>
  </si>
  <si>
    <t>שכר נטו:</t>
  </si>
  <si>
    <t>שנה</t>
  </si>
  <si>
    <t>כמות משקעים (מ"מ)</t>
  </si>
  <si>
    <t>מובטלים</t>
  </si>
  <si>
    <t>כח העבודה</t>
  </si>
  <si>
    <t>ינואר</t>
  </si>
  <si>
    <t>פברואר</t>
  </si>
  <si>
    <t>מרץ</t>
  </si>
  <si>
    <t>נושא</t>
  </si>
  <si>
    <t>משקל</t>
  </si>
  <si>
    <t>עבר/מצטיין</t>
  </si>
  <si>
    <t>מוצר א</t>
  </si>
  <si>
    <t>מוצר ב</t>
  </si>
  <si>
    <t>מוצר ג</t>
  </si>
  <si>
    <t>רבעון 1</t>
  </si>
  <si>
    <t>רבעון 2</t>
  </si>
  <si>
    <t>רבעון 3</t>
  </si>
  <si>
    <t>רבעון 4</t>
  </si>
  <si>
    <t>מוצר ד</t>
  </si>
  <si>
    <t>מכירות לפי משרדים</t>
  </si>
  <si>
    <t>אזור המרכז</t>
  </si>
  <si>
    <t>אזור הצפון</t>
  </si>
  <si>
    <t>אזור הדרום</t>
  </si>
  <si>
    <t xml:space="preserve">תל-אביב </t>
  </si>
  <si>
    <t>הרצליה</t>
  </si>
  <si>
    <t>רחובות</t>
  </si>
  <si>
    <t>חיפה</t>
  </si>
  <si>
    <t>נהריה</t>
  </si>
  <si>
    <t>באר שבע</t>
  </si>
  <si>
    <t>אשדוד</t>
  </si>
  <si>
    <t>כמות דלק</t>
  </si>
  <si>
    <t>שונות</t>
  </si>
  <si>
    <t>העיתון</t>
  </si>
  <si>
    <t>מחיר למודעה</t>
  </si>
  <si>
    <t>מספר קוראים למודעה (במליונים)</t>
  </si>
  <si>
    <t>מספר מודעות שפורסמו</t>
  </si>
  <si>
    <t>סיכום העלות</t>
  </si>
  <si>
    <t>אחוז מהתקציב</t>
  </si>
  <si>
    <t>סך כל הקוראים (במליונים)</t>
  </si>
  <si>
    <t>עיתון 1</t>
  </si>
  <si>
    <t>עיתון 2</t>
  </si>
  <si>
    <t>עיתון 3</t>
  </si>
  <si>
    <t>עיתון 4</t>
  </si>
  <si>
    <t>עיתון 5</t>
  </si>
  <si>
    <t>עיתון 6</t>
  </si>
  <si>
    <t>סה"כ</t>
  </si>
  <si>
    <t>סה"כ לעיתון 3+עיתון 4</t>
  </si>
  <si>
    <t>הגבלות:</t>
  </si>
  <si>
    <t>חתירה למטרה</t>
  </si>
  <si>
    <t>משתלת השתיל</t>
  </si>
  <si>
    <t>מס' פריט</t>
  </si>
  <si>
    <t>תיאור</t>
  </si>
  <si>
    <t>מחיר</t>
  </si>
  <si>
    <t>הנחה</t>
  </si>
  <si>
    <t>סכום כולל</t>
  </si>
  <si>
    <t>אדר5'</t>
  </si>
  <si>
    <t>אלון5'</t>
  </si>
  <si>
    <t>דוב5'</t>
  </si>
  <si>
    <t>אגס5'</t>
  </si>
  <si>
    <t>אגח3'</t>
  </si>
  <si>
    <t>אגמ4'</t>
  </si>
  <si>
    <t>אגא5'</t>
  </si>
  <si>
    <t>עץ אדר 5'</t>
  </si>
  <si>
    <t>עץ אלון 5'</t>
  </si>
  <si>
    <t>עץ דובדבן 5'</t>
  </si>
  <si>
    <t>עץ אגס 5'</t>
  </si>
  <si>
    <t>עץ אגוז חמאה 3'</t>
  </si>
  <si>
    <t>עץ אגוז מלך 4'</t>
  </si>
  <si>
    <t>עץ אגוז אנגלי 5'</t>
  </si>
  <si>
    <t>3^4</t>
  </si>
  <si>
    <t>חציון</t>
  </si>
  <si>
    <t>שכיח</t>
  </si>
  <si>
    <t>מינימום</t>
  </si>
  <si>
    <t>מקסימום</t>
  </si>
  <si>
    <t>סטיית תקן</t>
  </si>
  <si>
    <t>תשובה 1</t>
  </si>
  <si>
    <t>תשובה 2</t>
  </si>
  <si>
    <t>שם משפחה</t>
  </si>
  <si>
    <t>אזור</t>
  </si>
  <si>
    <t>יישוב</t>
  </si>
  <si>
    <t>תשלום</t>
  </si>
  <si>
    <t>דרום</t>
  </si>
  <si>
    <t>שחמט</t>
  </si>
  <si>
    <t>מרכז</t>
  </si>
  <si>
    <t>תל אביב</t>
  </si>
  <si>
    <t>בלט</t>
  </si>
  <si>
    <t>צפון</t>
  </si>
  <si>
    <t>אגרוף תאלינדי</t>
  </si>
  <si>
    <t>פתח תקווה</t>
  </si>
  <si>
    <t>שזירת פרחים</t>
  </si>
  <si>
    <t>קרית טבעון</t>
  </si>
  <si>
    <t>גבעתיים</t>
  </si>
  <si>
    <t>שחייה אומנותית</t>
  </si>
  <si>
    <t>קרית שמונה</t>
  </si>
  <si>
    <t>פיסול בשוקולד</t>
  </si>
  <si>
    <t>רהט</t>
  </si>
  <si>
    <t>נתניה</t>
  </si>
  <si>
    <t>מגדל העמק</t>
  </si>
  <si>
    <t>ערד</t>
  </si>
  <si>
    <t>חצור הגלילית</t>
  </si>
  <si>
    <t>חולון</t>
  </si>
  <si>
    <t>אילת</t>
  </si>
  <si>
    <t>בארי</t>
  </si>
  <si>
    <t>שם החוג</t>
  </si>
  <si>
    <t>מזהה משפחה</t>
  </si>
  <si>
    <t>סימפסון</t>
  </si>
  <si>
    <t>רוטשילד</t>
  </si>
  <si>
    <t>צנעני</t>
  </si>
  <si>
    <t>סופרנו</t>
  </si>
  <si>
    <t>בלפונטה</t>
  </si>
  <si>
    <t>פלנדרס</t>
  </si>
  <si>
    <t>קדמוני</t>
  </si>
  <si>
    <t>סופר-על</t>
  </si>
  <si>
    <t>כהן</t>
  </si>
  <si>
    <t>לוי</t>
  </si>
  <si>
    <t>ארדיטי</t>
  </si>
  <si>
    <t>עינב</t>
  </si>
  <si>
    <t>הקיסרים</t>
  </si>
  <si>
    <t>זהבי</t>
  </si>
  <si>
    <t>חמו</t>
  </si>
  <si>
    <t>טננבאום</t>
  </si>
  <si>
    <t>בנאי</t>
  </si>
  <si>
    <t>חינאוי</t>
  </si>
  <si>
    <t>עידן</t>
  </si>
  <si>
    <t>עזריאל</t>
  </si>
  <si>
    <t>בשן</t>
  </si>
  <si>
    <t>פרדס</t>
  </si>
  <si>
    <t>סביר</t>
  </si>
  <si>
    <t>גולדברג</t>
  </si>
  <si>
    <t>אליפלט</t>
  </si>
  <si>
    <t>פרי</t>
  </si>
  <si>
    <t>נמרוד</t>
  </si>
  <si>
    <t>רבינוביץ'</t>
  </si>
  <si>
    <t>אלייב</t>
  </si>
  <si>
    <t>טיפו</t>
  </si>
  <si>
    <t>זוארץ</t>
  </si>
  <si>
    <t>בר</t>
  </si>
  <si>
    <t>כץ</t>
  </si>
  <si>
    <t>צדיק</t>
  </si>
  <si>
    <t>יונה</t>
  </si>
  <si>
    <t>עופר</t>
  </si>
  <si>
    <t>אבן</t>
  </si>
  <si>
    <t>אסייג</t>
  </si>
  <si>
    <t>מומין</t>
  </si>
  <si>
    <t>רוהר</t>
  </si>
  <si>
    <t>טימלים</t>
  </si>
  <si>
    <t>היונקים</t>
  </si>
  <si>
    <t>מוסקוביץ</t>
  </si>
  <si>
    <t>גולדן</t>
  </si>
  <si>
    <t>פרץ</t>
  </si>
  <si>
    <t>מלול</t>
  </si>
  <si>
    <t>מלבסקי</t>
  </si>
  <si>
    <t>שמידוב</t>
  </si>
  <si>
    <t>קימל</t>
  </si>
  <si>
    <t>אלפסי</t>
  </si>
  <si>
    <t>לוזון</t>
  </si>
  <si>
    <t>אלון</t>
  </si>
  <si>
    <t>שאלות:</t>
  </si>
  <si>
    <t>תשובה:</t>
  </si>
  <si>
    <t xml:space="preserve">הציגו 10 שורות (המתייחסות למשפחות מספר 20-29) בהן אפשר לראות </t>
  </si>
  <si>
    <t>באיזה ישוב גרה משפחת חמו?</t>
  </si>
  <si>
    <t>מה שם החוג בו משתתפים בני המשפחה, אשר מספרם המזהה הוא 27?</t>
  </si>
  <si>
    <t>יוני</t>
  </si>
  <si>
    <t>תקציבכם הכללי הוא</t>
  </si>
  <si>
    <t>עיתונים</t>
  </si>
  <si>
    <t>החלטתם לפרסם ב-X</t>
  </si>
  <si>
    <t>שהעלות הכללית נהיה נמוכה ככל האפשר</t>
  </si>
  <si>
    <t>עליכם לפרסם בכל עיתון לפחות 6 מודעות</t>
  </si>
  <si>
    <t>אסור לכם להקציב יותר משליש התקציב שאתם מוציאים  לפרסום בעיתון אחד</t>
  </si>
  <si>
    <t>הסכום המוקצב לפרסום בעיתונים 3 ו 4 לא יעלה על</t>
  </si>
  <si>
    <t>לחשוף את המוצר לפחות (במיליונים)</t>
  </si>
  <si>
    <t>חשוב ששם הפונקציה יהיה אותו שם של המשתנה בו מציבים את התוצאה</t>
  </si>
  <si>
    <t>תרגיל 1</t>
  </si>
  <si>
    <t>תרגיל 2</t>
  </si>
  <si>
    <t>תרגיל 3</t>
  </si>
  <si>
    <t>תרגיל 4</t>
  </si>
  <si>
    <t>מבחן</t>
  </si>
  <si>
    <t>ציונים בקורס</t>
  </si>
  <si>
    <t>בכמה תרגילים ציון עובר</t>
  </si>
  <si>
    <t>ציון סופי</t>
  </si>
  <si>
    <t>תרגיל מס' 1</t>
  </si>
  <si>
    <t>תרגיל מס' 2</t>
  </si>
  <si>
    <t>תרגיל מס' 3</t>
  </si>
  <si>
    <t>תרגיל מס' 4</t>
  </si>
  <si>
    <t xml:space="preserve">נדרש לחזור על הקורס? </t>
  </si>
  <si>
    <t>נהורי</t>
  </si>
  <si>
    <t>הלל</t>
  </si>
  <si>
    <t>יהלי</t>
  </si>
  <si>
    <t>תמר</t>
  </si>
  <si>
    <t>נועה</t>
  </si>
  <si>
    <t>היקף היבול (טון)</t>
  </si>
  <si>
    <t>אפריל</t>
  </si>
  <si>
    <t>מאי</t>
  </si>
  <si>
    <t>יולי</t>
  </si>
  <si>
    <t>אוגוסט</t>
  </si>
  <si>
    <t>ספטמבר</t>
  </si>
  <si>
    <t>אוקטובר</t>
  </si>
  <si>
    <t>DATE</t>
  </si>
  <si>
    <t>TIME</t>
  </si>
  <si>
    <t>NOW</t>
  </si>
  <si>
    <t>TODAY</t>
  </si>
  <si>
    <t>מספר העמודה של הערך שיחזור יהיה יחסי למערך שהגדרנו.</t>
  </si>
  <si>
    <t>הערות חשובות:</t>
  </si>
  <si>
    <t>סה"כ ניכויים</t>
  </si>
  <si>
    <t>סה"כ זיכויים</t>
  </si>
  <si>
    <t>ציון משוקלל</t>
  </si>
  <si>
    <t>את הסכומים אותם שילמו לחוגים (כלומר, מס' משפחה ותשלום).</t>
  </si>
  <si>
    <t>במערך שמגדירים חשוב שהעמודה הראשונה תכיל את הערך אותו אנחנו מחפשים.</t>
  </si>
  <si>
    <t>(3^4)*5.5</t>
  </si>
  <si>
    <t>מיינו את הטבלה לפי מזהה המשפחה. שימו לב שאתם מסמנים את כל הטבלה, ניתן לסמן את שורת הכותרות בלבד ואז ללחוץ Ctrl+Alt+חץ למטה.</t>
  </si>
  <si>
    <t>מיון</t>
  </si>
  <si>
    <t>(האם חייבים למיין?)</t>
  </si>
  <si>
    <t>מהו המספר המזהה של כל המשפחות שהן בחוג בלט ? כמה משפחות כאלו יש ?</t>
  </si>
  <si>
    <t>מרחק טיסה 1</t>
  </si>
  <si>
    <t>סטודנטים עובדים</t>
  </si>
  <si>
    <t>חודש</t>
  </si>
  <si>
    <t>מרחק טיסה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</si>
</sst>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quot;\ #,##0.00;[Red]&quot;₪&quot;\ \-#,##0.00"/>
    <numFmt numFmtId="164" formatCode="&quot;¤&quot;\ #,##0.00;[Red]&quot;¤&quot;\ \-#,##0.00"/>
    <numFmt numFmtId="165" formatCode="0.0%"/>
    <numFmt numFmtId="166" formatCode="&quot;¤&quot;\ #,##0"/>
    <numFmt numFmtId="167" formatCode="&quot;¤&quot;\ #,##0.00"/>
    <numFmt numFmtId="168" formatCode="&quot;₪&quot;\ #,##0.00"/>
    <numFmt numFmtId="169" formatCode="0.0"/>
    <numFmt numFmtId="170" formatCode="[$-F400]h:mm:ss\ AM/PM"/>
  </numFmts>
  <fonts count="27" x14ac:knownFonts="1">
    <font>
      <sz val="10"/>
      <name val="Arial"/>
      <charset val="177"/>
    </font>
    <font>
      <sz val="10"/>
      <color indexed="9"/>
      <name val="Arial"/>
      <family val="2"/>
    </font>
    <font>
      <sz val="12"/>
      <name val="Arial"/>
      <family val="2"/>
      <charset val="177"/>
    </font>
    <font>
      <sz val="12"/>
      <color indexed="12"/>
      <name val="Arial"/>
      <family val="2"/>
      <charset val="177"/>
    </font>
    <font>
      <b/>
      <sz val="12"/>
      <name val="Arial"/>
      <family val="2"/>
      <charset val="177"/>
    </font>
    <font>
      <sz val="12"/>
      <color indexed="10"/>
      <name val="Arial"/>
      <family val="2"/>
      <charset val="177"/>
    </font>
    <font>
      <b/>
      <sz val="12"/>
      <color indexed="12"/>
      <name val="Arial"/>
      <family val="2"/>
      <charset val="177"/>
    </font>
    <font>
      <sz val="12"/>
      <color indexed="57"/>
      <name val="Arial"/>
      <family val="2"/>
      <charset val="177"/>
    </font>
    <font>
      <sz val="10"/>
      <color indexed="9"/>
      <name val="Arial"/>
      <family val="2"/>
      <charset val="177"/>
    </font>
    <font>
      <b/>
      <sz val="10"/>
      <name val="Arial"/>
      <family val="2"/>
      <charset val="177"/>
    </font>
    <font>
      <sz val="10"/>
      <color indexed="8"/>
      <name val="Arial"/>
      <family val="2"/>
    </font>
    <font>
      <b/>
      <i/>
      <sz val="10"/>
      <color indexed="16"/>
      <name val="Arial"/>
      <family val="2"/>
    </font>
    <font>
      <b/>
      <i/>
      <sz val="9"/>
      <color indexed="9"/>
      <name val="Arial"/>
      <family val="2"/>
    </font>
    <font>
      <sz val="10"/>
      <color indexed="10"/>
      <name val="Arial"/>
      <family val="2"/>
      <charset val="177"/>
    </font>
    <font>
      <b/>
      <sz val="20"/>
      <name val="Arial"/>
      <family val="2"/>
      <charset val="177"/>
    </font>
    <font>
      <b/>
      <sz val="10"/>
      <color indexed="21"/>
      <name val="Arial"/>
      <family val="2"/>
      <charset val="177"/>
    </font>
    <font>
      <b/>
      <i/>
      <sz val="9"/>
      <color indexed="9"/>
      <name val="Arial"/>
      <family val="2"/>
    </font>
    <font>
      <b/>
      <sz val="10"/>
      <name val="Arial"/>
      <family val="2"/>
    </font>
    <font>
      <sz val="10"/>
      <name val="Arial"/>
      <family val="2"/>
    </font>
    <font>
      <sz val="8"/>
      <name val="Arial"/>
      <family val="2"/>
    </font>
    <font>
      <b/>
      <sz val="10"/>
      <color indexed="12"/>
      <name val="Arial"/>
      <family val="2"/>
    </font>
    <font>
      <sz val="10"/>
      <color rgb="FF000000"/>
      <name val="Arial"/>
      <family val="2"/>
    </font>
    <font>
      <sz val="10"/>
      <name val="Arial"/>
      <family val="2"/>
      <charset val="177"/>
    </font>
    <font>
      <sz val="22"/>
      <color rgb="FF000000"/>
      <name val="Arial"/>
      <family val="2"/>
    </font>
    <font>
      <sz val="22"/>
      <name val="Arial"/>
      <family val="2"/>
    </font>
    <font>
      <u/>
      <sz val="10"/>
      <name val="Arial"/>
      <family val="2"/>
    </font>
    <font>
      <sz val="18"/>
      <name val="Arial"/>
      <family val="2"/>
      <charset val="177"/>
    </font>
  </fonts>
  <fills count="9">
    <fill>
      <patternFill patternType="none"/>
    </fill>
    <fill>
      <patternFill patternType="gray125"/>
    </fill>
    <fill>
      <patternFill patternType="solid">
        <fgColor indexed="21"/>
        <bgColor indexed="24"/>
      </patternFill>
    </fill>
    <fill>
      <patternFill patternType="solid">
        <fgColor indexed="22"/>
        <bgColor indexed="24"/>
      </patternFill>
    </fill>
    <fill>
      <patternFill patternType="solid">
        <fgColor indexed="9"/>
        <bgColor indexed="24"/>
      </patternFill>
    </fill>
    <fill>
      <patternFill patternType="solid">
        <fgColor indexed="8"/>
        <bgColor indexed="24"/>
      </patternFill>
    </fill>
    <fill>
      <patternFill patternType="solid">
        <fgColor indexed="57"/>
        <bgColor indexed="64"/>
      </patternFill>
    </fill>
    <fill>
      <patternFill patternType="solid">
        <fgColor rgb="FFFFFF00"/>
        <bgColor indexed="64"/>
      </patternFill>
    </fill>
    <fill>
      <patternFill patternType="solid">
        <fgColor theme="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15"/>
      </top>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style="thick">
        <color indexed="21"/>
      </left>
      <right/>
      <top style="thin">
        <color indexed="15"/>
      </top>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bottom style="thick">
        <color indexed="21"/>
      </bottom>
      <diagonal/>
    </border>
    <border>
      <left style="thick">
        <color indexed="21"/>
      </left>
      <right/>
      <top style="thin">
        <color indexed="15"/>
      </top>
      <bottom style="thick">
        <color indexed="21"/>
      </bottom>
      <diagonal/>
    </border>
    <border>
      <left style="thick">
        <color indexed="21"/>
      </left>
      <right/>
      <top style="thick">
        <color indexed="21"/>
      </top>
      <bottom/>
      <diagonal/>
    </border>
    <border>
      <left/>
      <right/>
      <top style="thick">
        <color indexed="21"/>
      </top>
      <bottom/>
      <diagonal/>
    </border>
    <border>
      <left/>
      <right style="thick">
        <color indexed="21"/>
      </right>
      <top style="thick">
        <color indexed="21"/>
      </top>
      <bottom/>
      <diagonal/>
    </border>
    <border>
      <left/>
      <right style="thick">
        <color indexed="21"/>
      </right>
      <top style="thin">
        <color indexed="15"/>
      </top>
      <bottom/>
      <diagonal/>
    </border>
    <border>
      <left/>
      <right/>
      <top style="thin">
        <color indexed="15"/>
      </top>
      <bottom style="thick">
        <color indexed="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s>
  <cellStyleXfs count="2">
    <xf numFmtId="0" fontId="0" fillId="0" borderId="0"/>
    <xf numFmtId="0" fontId="18" fillId="0" borderId="0"/>
  </cellStyleXfs>
  <cellXfs count="158">
    <xf numFmtId="0" fontId="0" fillId="0" borderId="0" xfId="0"/>
    <xf numFmtId="0" fontId="2" fillId="0" borderId="0" xfId="0" applyFont="1" applyFill="1" applyAlignment="1">
      <alignment horizontal="right"/>
    </xf>
    <xf numFmtId="0" fontId="0" fillId="0" borderId="0" xfId="0" applyAlignment="1">
      <alignment horizontal="center"/>
    </xf>
    <xf numFmtId="0" fontId="0" fillId="0" borderId="1" xfId="0" applyBorder="1"/>
    <xf numFmtId="0" fontId="0" fillId="0" borderId="3" xfId="0" applyBorder="1"/>
    <xf numFmtId="0" fontId="0" fillId="0" borderId="5" xfId="0" applyBorder="1"/>
    <xf numFmtId="0" fontId="0" fillId="0" borderId="6" xfId="0" applyBorder="1"/>
    <xf numFmtId="0" fontId="0" fillId="0" borderId="7" xfId="0" applyBorder="1"/>
    <xf numFmtId="0" fontId="2" fillId="0" borderId="0" xfId="0" applyFont="1" applyAlignment="1">
      <alignment horizontal="center"/>
    </xf>
    <xf numFmtId="0" fontId="2" fillId="0" borderId="0" xfId="0" applyNumberFormat="1" applyFont="1" applyAlignment="1">
      <alignment horizontal="center"/>
    </xf>
    <xf numFmtId="0" fontId="2" fillId="0" borderId="0" xfId="0" applyFont="1"/>
    <xf numFmtId="0" fontId="3" fillId="0" borderId="0" xfId="0" applyFont="1"/>
    <xf numFmtId="0" fontId="5" fillId="0" borderId="0" xfId="0" applyFont="1"/>
    <xf numFmtId="0" fontId="7" fillId="0" borderId="0" xfId="0" applyFont="1"/>
    <xf numFmtId="0" fontId="6" fillId="0" borderId="8" xfId="0" applyFont="1" applyBorder="1"/>
    <xf numFmtId="0" fontId="3" fillId="0" borderId="9" xfId="0" applyFont="1" applyBorder="1"/>
    <xf numFmtId="0" fontId="3" fillId="0" borderId="10" xfId="0" applyFont="1" applyBorder="1"/>
    <xf numFmtId="0" fontId="2" fillId="0" borderId="1"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2" fillId="0" borderId="19" xfId="0" applyFont="1" applyBorder="1" applyAlignment="1">
      <alignment horizontal="center"/>
    </xf>
    <xf numFmtId="0" fontId="2" fillId="0" borderId="20" xfId="0" applyFont="1" applyBorder="1" applyAlignment="1">
      <alignment horizontal="center"/>
    </xf>
    <xf numFmtId="0" fontId="4" fillId="0" borderId="21" xfId="0" applyFont="1" applyBorder="1" applyAlignment="1">
      <alignment horizontal="center"/>
    </xf>
    <xf numFmtId="0" fontId="4" fillId="0" borderId="22" xfId="0" applyFont="1" applyBorder="1" applyAlignment="1">
      <alignment horizontal="center"/>
    </xf>
    <xf numFmtId="0" fontId="4" fillId="0" borderId="23" xfId="0" applyFont="1" applyBorder="1" applyAlignment="1">
      <alignment horizontal="center"/>
    </xf>
    <xf numFmtId="0" fontId="0" fillId="0" borderId="0" xfId="0" applyAlignment="1"/>
    <xf numFmtId="0" fontId="1" fillId="2" borderId="24" xfId="0" applyFont="1" applyFill="1" applyBorder="1" applyAlignment="1">
      <alignment horizontal="center"/>
    </xf>
    <xf numFmtId="0" fontId="2" fillId="0" borderId="0" xfId="0" applyFont="1" applyFill="1" applyAlignment="1">
      <alignment horizontal="center"/>
    </xf>
    <xf numFmtId="0" fontId="10" fillId="3" borderId="25" xfId="0" applyFont="1" applyFill="1" applyBorder="1" applyAlignment="1">
      <alignment horizontal="center"/>
    </xf>
    <xf numFmtId="0" fontId="10" fillId="4" borderId="25" xfId="0" applyFont="1" applyFill="1" applyBorder="1" applyAlignment="1">
      <alignment horizontal="center"/>
    </xf>
    <xf numFmtId="0" fontId="10" fillId="3" borderId="27" xfId="0" applyFont="1" applyFill="1" applyBorder="1" applyAlignment="1">
      <alignment horizontal="center"/>
    </xf>
    <xf numFmtId="0" fontId="1" fillId="2" borderId="28" xfId="0" applyFont="1" applyFill="1" applyBorder="1" applyAlignment="1">
      <alignment horizontal="center"/>
    </xf>
    <xf numFmtId="0" fontId="11" fillId="3" borderId="29" xfId="0" applyFont="1" applyFill="1" applyBorder="1" applyAlignment="1">
      <alignment horizontal="center"/>
    </xf>
    <xf numFmtId="0" fontId="11" fillId="3" borderId="30" xfId="0" applyFont="1" applyFill="1" applyBorder="1" applyAlignment="1">
      <alignment horizontal="center"/>
    </xf>
    <xf numFmtId="0" fontId="11" fillId="3" borderId="31" xfId="0" applyFont="1" applyFill="1" applyBorder="1" applyAlignment="1">
      <alignment horizontal="center"/>
    </xf>
    <xf numFmtId="9" fontId="10" fillId="3" borderId="0" xfId="0" applyNumberFormat="1" applyFont="1" applyFill="1" applyBorder="1" applyAlignment="1">
      <alignment horizontal="center"/>
    </xf>
    <xf numFmtId="9" fontId="10" fillId="4" borderId="0" xfId="0" applyNumberFormat="1" applyFont="1" applyFill="1" applyBorder="1" applyAlignment="1">
      <alignment horizontal="center"/>
    </xf>
    <xf numFmtId="9" fontId="10" fillId="3" borderId="32" xfId="0" applyNumberFormat="1" applyFont="1" applyFill="1" applyBorder="1" applyAlignment="1">
      <alignment horizontal="center"/>
    </xf>
    <xf numFmtId="0" fontId="1" fillId="2" borderId="28" xfId="0" applyFont="1" applyFill="1" applyBorder="1" applyAlignment="1"/>
    <xf numFmtId="0" fontId="1" fillId="2" borderId="33" xfId="0" applyFont="1" applyFill="1" applyBorder="1" applyAlignment="1"/>
    <xf numFmtId="0" fontId="12" fillId="5" borderId="34" xfId="0" applyFont="1" applyFill="1" applyBorder="1" applyAlignment="1">
      <alignment horizontal="center"/>
    </xf>
    <xf numFmtId="0" fontId="12" fillId="5" borderId="35" xfId="0" applyFont="1" applyFill="1" applyBorder="1" applyAlignment="1">
      <alignment horizontal="center"/>
    </xf>
    <xf numFmtId="0" fontId="12" fillId="5" borderId="36" xfId="0" applyFont="1" applyFill="1" applyBorder="1" applyAlignment="1">
      <alignment horizontal="center"/>
    </xf>
    <xf numFmtId="0" fontId="1" fillId="2" borderId="37" xfId="0" applyFont="1" applyFill="1" applyBorder="1" applyAlignment="1">
      <alignment horizontal="center"/>
    </xf>
    <xf numFmtId="0" fontId="1" fillId="2" borderId="38" xfId="0" applyFont="1" applyFill="1" applyBorder="1" applyAlignment="1">
      <alignment horizontal="center"/>
    </xf>
    <xf numFmtId="22" fontId="0" fillId="0" borderId="0" xfId="0" applyNumberFormat="1"/>
    <xf numFmtId="22" fontId="13" fillId="0" borderId="0" xfId="0" applyNumberFormat="1" applyFont="1"/>
    <xf numFmtId="164" fontId="0" fillId="0" borderId="0" xfId="0" applyNumberFormat="1"/>
    <xf numFmtId="0" fontId="0" fillId="0" borderId="11" xfId="0" applyBorder="1"/>
    <xf numFmtId="0" fontId="0" fillId="0" borderId="0" xfId="0" applyBorder="1"/>
    <xf numFmtId="0" fontId="0" fillId="0" borderId="12" xfId="0" applyBorder="1"/>
    <xf numFmtId="0" fontId="9" fillId="0" borderId="0" xfId="0" applyFont="1"/>
    <xf numFmtId="0" fontId="0" fillId="0" borderId="0" xfId="0" applyAlignment="1">
      <alignment horizontal="right" vertical="top" wrapText="1"/>
    </xf>
    <xf numFmtId="0" fontId="9" fillId="0" borderId="0" xfId="0" applyFont="1" applyAlignment="1">
      <alignment horizontal="right" vertical="top" wrapText="1"/>
    </xf>
    <xf numFmtId="0" fontId="9" fillId="0" borderId="2" xfId="0" applyFont="1" applyBorder="1"/>
    <xf numFmtId="10" fontId="0" fillId="0" borderId="12" xfId="0" applyNumberFormat="1" applyBorder="1"/>
    <xf numFmtId="165" fontId="0" fillId="0" borderId="3" xfId="0" applyNumberFormat="1" applyBorder="1"/>
    <xf numFmtId="165" fontId="0" fillId="0" borderId="0" xfId="0" applyNumberFormat="1" applyBorder="1"/>
    <xf numFmtId="165" fontId="0" fillId="0" borderId="6" xfId="0" applyNumberFormat="1" applyBorder="1"/>
    <xf numFmtId="0" fontId="15" fillId="0" borderId="1" xfId="0" applyFont="1" applyBorder="1" applyAlignment="1">
      <alignment horizontal="right" vertical="top" wrapText="1"/>
    </xf>
    <xf numFmtId="0" fontId="0" fillId="0" borderId="39" xfId="0" applyBorder="1"/>
    <xf numFmtId="0" fontId="0" fillId="6" borderId="0" xfId="0" applyFill="1"/>
    <xf numFmtId="0" fontId="0" fillId="0" borderId="8"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167" fontId="0" fillId="0" borderId="46" xfId="0" applyNumberFormat="1" applyBorder="1"/>
    <xf numFmtId="167" fontId="0" fillId="0" borderId="19" xfId="0" applyNumberFormat="1" applyBorder="1"/>
    <xf numFmtId="0" fontId="16" fillId="5" borderId="34" xfId="0" applyFont="1" applyFill="1" applyBorder="1" applyAlignment="1">
      <alignment horizontal="center"/>
    </xf>
    <xf numFmtId="0" fontId="16" fillId="5" borderId="35" xfId="0" applyFont="1" applyFill="1" applyBorder="1" applyAlignment="1">
      <alignment horizontal="center"/>
    </xf>
    <xf numFmtId="0" fontId="1" fillId="2" borderId="24" xfId="0" applyNumberFormat="1" applyFont="1" applyFill="1" applyBorder="1" applyAlignment="1">
      <alignment horizontal="center"/>
    </xf>
    <xf numFmtId="0" fontId="1" fillId="2" borderId="33" xfId="0" applyFont="1" applyFill="1" applyBorder="1" applyAlignment="1">
      <alignment horizontal="center"/>
    </xf>
    <xf numFmtId="168" fontId="0" fillId="0" borderId="47" xfId="0" applyNumberFormat="1" applyBorder="1"/>
    <xf numFmtId="166" fontId="0" fillId="0" borderId="3" xfId="0" applyNumberFormat="1" applyBorder="1"/>
    <xf numFmtId="166" fontId="0" fillId="0" borderId="0" xfId="0" applyNumberFormat="1" applyBorder="1"/>
    <xf numFmtId="166" fontId="0" fillId="0" borderId="6" xfId="0" applyNumberFormat="1" applyBorder="1"/>
    <xf numFmtId="166" fontId="0" fillId="0" borderId="12" xfId="0" applyNumberFormat="1" applyBorder="1"/>
    <xf numFmtId="167" fontId="0" fillId="0" borderId="7" xfId="0" applyNumberFormat="1" applyBorder="1"/>
    <xf numFmtId="167" fontId="0" fillId="0" borderId="48" xfId="0" applyNumberFormat="1" applyBorder="1"/>
    <xf numFmtId="0" fontId="0" fillId="0" borderId="49" xfId="0" applyBorder="1"/>
    <xf numFmtId="0" fontId="0" fillId="0" borderId="13" xfId="0" applyBorder="1"/>
    <xf numFmtId="0" fontId="0" fillId="0" borderId="50" xfId="0" applyBorder="1"/>
    <xf numFmtId="0" fontId="0" fillId="0" borderId="51" xfId="0" applyBorder="1"/>
    <xf numFmtId="0" fontId="0" fillId="0" borderId="14" xfId="0" applyBorder="1"/>
    <xf numFmtId="0" fontId="0" fillId="0" borderId="52" xfId="0" applyBorder="1"/>
    <xf numFmtId="0" fontId="0" fillId="0" borderId="15" xfId="0" applyBorder="1"/>
    <xf numFmtId="0" fontId="0" fillId="0" borderId="53" xfId="0" applyBorder="1"/>
    <xf numFmtId="0" fontId="0" fillId="0" borderId="54" xfId="0" applyBorder="1"/>
    <xf numFmtId="0" fontId="9" fillId="0" borderId="13" xfId="0" applyFont="1" applyBorder="1"/>
    <xf numFmtId="0" fontId="9" fillId="0" borderId="14" xfId="0" applyFont="1" applyBorder="1"/>
    <xf numFmtId="0" fontId="9" fillId="0" borderId="15" xfId="0" applyFont="1" applyBorder="1"/>
    <xf numFmtId="8" fontId="0" fillId="0" borderId="0" xfId="0" applyNumberFormat="1"/>
    <xf numFmtId="0" fontId="17" fillId="0" borderId="0" xfId="0" applyFont="1" applyAlignment="1">
      <alignment horizontal="center"/>
    </xf>
    <xf numFmtId="0" fontId="0" fillId="0" borderId="16" xfId="0" applyBorder="1"/>
    <xf numFmtId="0" fontId="0" fillId="0" borderId="17" xfId="0" applyBorder="1"/>
    <xf numFmtId="0" fontId="0" fillId="0" borderId="18" xfId="0" applyBorder="1"/>
    <xf numFmtId="0" fontId="0" fillId="0" borderId="20" xfId="0" applyBorder="1"/>
    <xf numFmtId="0" fontId="17" fillId="0" borderId="21" xfId="0" applyFont="1" applyBorder="1" applyAlignment="1">
      <alignment horizontal="center"/>
    </xf>
    <xf numFmtId="0" fontId="17" fillId="0" borderId="23" xfId="0" applyFont="1" applyBorder="1" applyAlignment="1">
      <alignment horizontal="center"/>
    </xf>
    <xf numFmtId="0" fontId="18" fillId="0" borderId="0" xfId="0" applyFont="1" applyAlignment="1">
      <alignment horizontal="center"/>
    </xf>
    <xf numFmtId="0" fontId="0" fillId="0" borderId="0" xfId="0" applyAlignment="1">
      <alignment horizontal="right"/>
    </xf>
    <xf numFmtId="0" fontId="18" fillId="0" borderId="0" xfId="0" applyFont="1" applyAlignment="1">
      <alignment horizontal="right"/>
    </xf>
    <xf numFmtId="0" fontId="17" fillId="0" borderId="0" xfId="0" applyFont="1" applyAlignment="1">
      <alignment horizontal="right"/>
    </xf>
    <xf numFmtId="0" fontId="0" fillId="0" borderId="55" xfId="0" applyBorder="1" applyAlignment="1">
      <alignment horizontal="right"/>
    </xf>
    <xf numFmtId="0" fontId="0" fillId="0" borderId="0" xfId="0" applyBorder="1" applyAlignment="1">
      <alignment horizontal="right"/>
    </xf>
    <xf numFmtId="0" fontId="21" fillId="0" borderId="0" xfId="0" applyFont="1"/>
    <xf numFmtId="3" fontId="21" fillId="0" borderId="0" xfId="0" applyNumberFormat="1" applyFont="1"/>
    <xf numFmtId="0" fontId="18" fillId="0" borderId="0" xfId="0" applyFont="1" applyBorder="1"/>
    <xf numFmtId="0" fontId="18" fillId="0" borderId="6" xfId="0" applyFont="1" applyBorder="1"/>
    <xf numFmtId="0" fontId="18" fillId="0" borderId="0" xfId="0" applyFont="1"/>
    <xf numFmtId="0" fontId="17" fillId="7" borderId="0" xfId="0" applyFont="1" applyFill="1"/>
    <xf numFmtId="0" fontId="0" fillId="7" borderId="0" xfId="0" applyFill="1"/>
    <xf numFmtId="0" fontId="8" fillId="8" borderId="0" xfId="0" applyFont="1" applyFill="1" applyAlignment="1">
      <alignment horizontal="center"/>
    </xf>
    <xf numFmtId="0" fontId="22" fillId="8" borderId="1" xfId="0" applyFont="1" applyFill="1" applyBorder="1" applyAlignment="1">
      <alignment horizontal="center"/>
    </xf>
    <xf numFmtId="0" fontId="23" fillId="0" borderId="0" xfId="0" applyFont="1" applyAlignment="1">
      <alignment horizontal="center" vertical="center" readingOrder="2"/>
    </xf>
    <xf numFmtId="0" fontId="12" fillId="5" borderId="35" xfId="0" applyFont="1" applyFill="1" applyBorder="1" applyAlignment="1">
      <alignment horizontal="center" wrapText="1"/>
    </xf>
    <xf numFmtId="0" fontId="22" fillId="8" borderId="0" xfId="0" applyFont="1" applyFill="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4" fontId="0" fillId="0" borderId="0" xfId="0" applyNumberFormat="1"/>
    <xf numFmtId="0" fontId="2" fillId="0" borderId="0" xfId="0" applyFont="1" applyAlignment="1">
      <alignment horizontal="center"/>
    </xf>
    <xf numFmtId="169" fontId="10" fillId="3" borderId="26" xfId="0" applyNumberFormat="1" applyFont="1" applyFill="1" applyBorder="1" applyAlignment="1">
      <alignment horizontal="center"/>
    </xf>
    <xf numFmtId="0" fontId="20" fillId="0" borderId="10" xfId="0" applyFont="1" applyBorder="1" applyAlignment="1">
      <alignment horizontal="center"/>
    </xf>
    <xf numFmtId="0" fontId="18" fillId="0" borderId="0" xfId="0" applyFont="1" applyAlignment="1">
      <alignment horizontal="right" readingOrder="2"/>
    </xf>
    <xf numFmtId="0" fontId="0" fillId="0" borderId="1" xfId="0" applyBorder="1" applyAlignment="1">
      <alignment horizontal="center"/>
    </xf>
    <xf numFmtId="0" fontId="0" fillId="0" borderId="21" xfId="0" applyBorder="1"/>
    <xf numFmtId="0" fontId="0" fillId="0" borderId="22" xfId="0" applyBorder="1"/>
    <xf numFmtId="0" fontId="0" fillId="0" borderId="16" xfId="0" applyBorder="1" applyAlignment="1">
      <alignment horizontal="center"/>
    </xf>
    <xf numFmtId="1" fontId="0" fillId="0" borderId="17" xfId="0" applyNumberForma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1" fontId="0" fillId="0" borderId="20" xfId="0" applyNumberFormat="1" applyBorder="1" applyAlignment="1">
      <alignment horizontal="center"/>
    </xf>
    <xf numFmtId="9" fontId="1" fillId="2" borderId="38" xfId="0" applyNumberFormat="1" applyFont="1" applyFill="1" applyBorder="1" applyAlignment="1">
      <alignment horizontal="center"/>
    </xf>
    <xf numFmtId="170" fontId="0" fillId="0" borderId="52" xfId="0" applyNumberFormat="1" applyBorder="1"/>
    <xf numFmtId="0" fontId="0" fillId="0" borderId="47" xfId="0" applyBorder="1" applyAlignment="1">
      <alignment horizontal="center"/>
    </xf>
    <xf numFmtId="0" fontId="26" fillId="8" borderId="0" xfId="0" applyFont="1" applyFill="1" applyAlignment="1">
      <alignment horizontal="center"/>
    </xf>
    <xf numFmtId="0" fontId="0" fillId="0" borderId="56" xfId="0" applyBorder="1" applyAlignment="1">
      <alignment horizontal="center"/>
    </xf>
    <xf numFmtId="0" fontId="0" fillId="0" borderId="0" xfId="0" applyBorder="1" applyAlignment="1">
      <alignment horizontal="center"/>
    </xf>
    <xf numFmtId="0" fontId="25" fillId="0" borderId="0" xfId="0" applyFont="1" applyBorder="1" applyAlignment="1">
      <alignment horizontal="center"/>
    </xf>
    <xf numFmtId="0" fontId="25" fillId="0" borderId="56" xfId="0" applyFont="1" applyBorder="1" applyAlignment="1">
      <alignment horizontal="center"/>
    </xf>
    <xf numFmtId="0" fontId="18" fillId="0" borderId="23" xfId="0" applyFont="1" applyBorder="1"/>
    <xf numFmtId="22" fontId="0" fillId="0" borderId="52" xfId="0" applyNumberFormat="1" applyBorder="1"/>
    <xf numFmtId="14" fontId="0" fillId="0" borderId="52" xfId="0" applyNumberFormat="1" applyBorder="1"/>
    <xf numFmtId="22" fontId="0" fillId="0" borderId="51" xfId="0" applyNumberFormat="1" applyBorder="1"/>
    <xf numFmtId="0" fontId="24" fillId="0" borderId="0" xfId="0" applyFont="1" applyAlignment="1">
      <alignment horizontal="center"/>
    </xf>
    <xf numFmtId="0" fontId="2" fillId="0" borderId="0" xfId="0" applyFont="1" applyAlignment="1">
      <alignment horizontal="center"/>
    </xf>
    <xf numFmtId="0" fontId="17" fillId="0" borderId="8" xfId="0" applyFont="1" applyBorder="1" applyAlignment="1">
      <alignment horizontal="center"/>
    </xf>
    <xf numFmtId="0" fontId="17" fillId="0" borderId="9" xfId="0" applyFont="1" applyBorder="1" applyAlignment="1">
      <alignment horizontal="center"/>
    </xf>
    <xf numFmtId="0" fontId="14" fillId="6" borderId="0" xfId="0" applyFont="1" applyFill="1" applyAlignment="1">
      <alignment horizontal="center"/>
    </xf>
    <xf numFmtId="0" fontId="22" fillId="7" borderId="0" xfId="0" applyFont="1" applyFill="1" applyAlignment="1">
      <alignment horizontal="center"/>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he-IL"/>
              <a:t>כמיות</a:t>
            </a:r>
            <a:r>
              <a:rPr lang="he-IL" baseline="0"/>
              <a:t> של משקעים והיקף היבול בחלם עשרת החודשים האחרונים</a:t>
            </a:r>
            <a:endParaRPr lang="he-I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lineChart>
        <c:grouping val="standard"/>
        <c:varyColors val="0"/>
        <c:ser>
          <c:idx val="0"/>
          <c:order val="0"/>
          <c:tx>
            <c:strRef>
              <c:f>'גרפים 1'!$I$3</c:f>
              <c:strCache>
                <c:ptCount val="1"/>
                <c:pt idx="0">
                  <c:v>כמות משקעים (מ"מ)</c:v>
                </c:pt>
              </c:strCache>
            </c:strRef>
          </c:tx>
          <c:spPr>
            <a:ln w="28575" cap="rnd">
              <a:solidFill>
                <a:schemeClr val="accent1"/>
              </a:solidFill>
              <a:round/>
            </a:ln>
            <a:effectLst/>
          </c:spPr>
          <c:marker>
            <c:symbol val="none"/>
          </c:marker>
          <c:cat>
            <c:strRef>
              <c:f>'גרפים 1'!$H$4:$H$13</c:f>
              <c:strCache>
                <c:ptCount val="10"/>
                <c:pt idx="0">
                  <c:v>ינואר</c:v>
                </c:pt>
                <c:pt idx="1">
                  <c:v>פברואר</c:v>
                </c:pt>
                <c:pt idx="2">
                  <c:v>מרץ</c:v>
                </c:pt>
                <c:pt idx="3">
                  <c:v>אפריל</c:v>
                </c:pt>
                <c:pt idx="4">
                  <c:v>מאי</c:v>
                </c:pt>
                <c:pt idx="5">
                  <c:v>יוני</c:v>
                </c:pt>
                <c:pt idx="6">
                  <c:v>יולי</c:v>
                </c:pt>
                <c:pt idx="7">
                  <c:v>אוגוסט</c:v>
                </c:pt>
                <c:pt idx="8">
                  <c:v>ספטמבר</c:v>
                </c:pt>
                <c:pt idx="9">
                  <c:v>אוקטובר</c:v>
                </c:pt>
              </c:strCache>
            </c:strRef>
          </c:cat>
          <c:val>
            <c:numRef>
              <c:f>'גרפים 1'!$I$4:$I$13</c:f>
              <c:numCache>
                <c:formatCode>General</c:formatCode>
                <c:ptCount val="10"/>
                <c:pt idx="0">
                  <c:v>200</c:v>
                </c:pt>
                <c:pt idx="1">
                  <c:v>350</c:v>
                </c:pt>
                <c:pt idx="2">
                  <c:v>400</c:v>
                </c:pt>
                <c:pt idx="3">
                  <c:v>200</c:v>
                </c:pt>
                <c:pt idx="4">
                  <c:v>250</c:v>
                </c:pt>
                <c:pt idx="5">
                  <c:v>300</c:v>
                </c:pt>
                <c:pt idx="6">
                  <c:v>350</c:v>
                </c:pt>
                <c:pt idx="7">
                  <c:v>220</c:v>
                </c:pt>
                <c:pt idx="8">
                  <c:v>280</c:v>
                </c:pt>
                <c:pt idx="9">
                  <c:v>400</c:v>
                </c:pt>
              </c:numCache>
            </c:numRef>
          </c:val>
          <c:smooth val="0"/>
          <c:extLst>
            <c:ext xmlns:c16="http://schemas.microsoft.com/office/drawing/2014/chart" uri="{C3380CC4-5D6E-409C-BE32-E72D297353CC}">
              <c16:uniqueId val="{00000000-E9C8-4F49-9CE3-00149111CA71}"/>
            </c:ext>
          </c:extLst>
        </c:ser>
        <c:ser>
          <c:idx val="1"/>
          <c:order val="1"/>
          <c:tx>
            <c:strRef>
              <c:f>'גרפים 1'!$J$3</c:f>
              <c:strCache>
                <c:ptCount val="1"/>
                <c:pt idx="0">
                  <c:v>היקף היבול (טון)</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'גרפים 1'!$H$4:$H$13</c:f>
              <c:strCache>
                <c:ptCount val="10"/>
                <c:pt idx="0">
                  <c:v>ינואר</c:v>
                </c:pt>
                <c:pt idx="1">
                  <c:v>פברואר</c:v>
                </c:pt>
                <c:pt idx="2">
                  <c:v>מרץ</c:v>
                </c:pt>
                <c:pt idx="3">
                  <c:v>אפריל</c:v>
                </c:pt>
                <c:pt idx="4">
                  <c:v>מאי</c:v>
                </c:pt>
                <c:pt idx="5">
                  <c:v>יוני</c:v>
                </c:pt>
                <c:pt idx="6">
                  <c:v>יולי</c:v>
                </c:pt>
                <c:pt idx="7">
                  <c:v>אוגוסט</c:v>
                </c:pt>
                <c:pt idx="8">
                  <c:v>ספטמבר</c:v>
                </c:pt>
                <c:pt idx="9">
                  <c:v>אוקטובר</c:v>
                </c:pt>
              </c:strCache>
            </c:strRef>
          </c:cat>
          <c:val>
            <c:numRef>
              <c:f>'גרפים 1'!$J$4:$J$13</c:f>
            </c:numRef>
          </c:val>
          <c:smooth val="0"/>
          <c:extLst>
            <c:ext xmlns:c16="http://schemas.microsoft.com/office/drawing/2014/chart" uri="{C3380CC4-5D6E-409C-BE32-E72D297353CC}">
              <c16:uniqueId val="{00000001-E9C8-4F49-9CE3-00149111CA71}"/>
            </c:ext>
          </c:extLst>
        </c:ser>
        <c:ser>
          <c:idx val="2"/>
          <c:order val="2"/>
          <c:tx>
            <c:strRef>
              <c:f>'גרפים 1'!$K$3</c:f>
              <c:strCache>
                <c:ptCount val="1"/>
                <c:pt idx="0">
                  <c:v>היקף היבול (טון)</c:v>
                </c:pt>
              </c:strCache>
            </c:strRef>
          </c:tx>
          <c:spPr>
            <a:ln w="28575" cap="rnd">
              <a:solidFill>
                <a:schemeClr val="accent3"/>
              </a:solidFill>
              <a:round/>
            </a:ln>
            <a:effectLst/>
          </c:spPr>
          <c:marker>
            <c:symbol val="none"/>
          </c:marker>
          <c:cat>
            <c:strRef>
              <c:f>'גרפים 1'!$H$4:$H$13</c:f>
              <c:strCache>
                <c:ptCount val="10"/>
                <c:pt idx="0">
                  <c:v>ינואר</c:v>
                </c:pt>
                <c:pt idx="1">
                  <c:v>פברואר</c:v>
                </c:pt>
                <c:pt idx="2">
                  <c:v>מרץ</c:v>
                </c:pt>
                <c:pt idx="3">
                  <c:v>אפריל</c:v>
                </c:pt>
                <c:pt idx="4">
                  <c:v>מאי</c:v>
                </c:pt>
                <c:pt idx="5">
                  <c:v>יוני</c:v>
                </c:pt>
                <c:pt idx="6">
                  <c:v>יולי</c:v>
                </c:pt>
                <c:pt idx="7">
                  <c:v>אוגוסט</c:v>
                </c:pt>
                <c:pt idx="8">
                  <c:v>ספטמבר</c:v>
                </c:pt>
                <c:pt idx="9">
                  <c:v>אוקטובר</c:v>
                </c:pt>
              </c:strCache>
            </c:strRef>
          </c:cat>
          <c:val>
            <c:numRef>
              <c:f>'גרפים 1'!$K$4:$K$13</c:f>
              <c:numCache>
                <c:formatCode>General</c:formatCode>
                <c:ptCount val="10"/>
                <c:pt idx="0">
                  <c:v>305.1717480315956</c:v>
                </c:pt>
                <c:pt idx="1">
                  <c:v>538.66881037901317</c:v>
                </c:pt>
                <c:pt idx="2">
                  <c:v>610.01405136322717</c:v>
                </c:pt>
                <c:pt idx="3">
                  <c:v>316.28476913560206</c:v>
                </c:pt>
                <c:pt idx="4">
                  <c:v>387.50174961641659</c:v>
                </c:pt>
                <c:pt idx="5">
                  <c:v>466.85613318733658</c:v>
                </c:pt>
                <c:pt idx="6">
                  <c:v>545.0797936636535</c:v>
                </c:pt>
                <c:pt idx="7">
                  <c:v>348.83120503599446</c:v>
                </c:pt>
                <c:pt idx="8">
                  <c:v>424.45941002433852</c:v>
                </c:pt>
                <c:pt idx="9">
                  <c:v>621.8800732356151</c:v>
                </c:pt>
              </c:numCache>
            </c:numRef>
          </c:val>
          <c:smooth val="0"/>
          <c:extLst>
            <c:ext xmlns:c16="http://schemas.microsoft.com/office/drawing/2014/chart" uri="{C3380CC4-5D6E-409C-BE32-E72D297353CC}">
              <c16:uniqueId val="{00000002-E9C8-4F49-9CE3-00149111CA71}"/>
            </c:ext>
          </c:extLst>
        </c:ser>
        <c:dLbls>
          <c:showLegendKey val="0"/>
          <c:showVal val="0"/>
          <c:showCatName val="0"/>
          <c:showSerName val="0"/>
          <c:showPercent val="0"/>
          <c:showBubbleSize val="0"/>
        </c:dLbls>
        <c:smooth val="0"/>
        <c:axId val="416314984"/>
        <c:axId val="416318264"/>
      </c:lineChart>
      <c:catAx>
        <c:axId val="416314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6318264"/>
        <c:crosses val="autoZero"/>
        <c:auto val="1"/>
        <c:lblAlgn val="ctr"/>
        <c:lblOffset val="100"/>
        <c:noMultiLvlLbl val="0"/>
      </c:catAx>
      <c:valAx>
        <c:axId val="416318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6314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he-IL"/>
              <a:t>היקף היבול (טון) לכמות משקעים(מ"מ)</a:t>
            </a:r>
            <a:r>
              <a:rPr lang="en-US"/>
              <a:t> </a:t>
            </a:r>
            <a:endParaRPr lang="he-I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scatterChart>
        <c:scatterStyle val="lineMarker"/>
        <c:varyColors val="0"/>
        <c:ser>
          <c:idx val="0"/>
          <c:order val="0"/>
          <c:tx>
            <c:strRef>
              <c:f>'גרפים 1'!$J$3</c:f>
              <c:strCache>
                <c:ptCount val="1"/>
                <c:pt idx="0">
                  <c:v>היקף היבול (טון)</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'גרפים 1'!$I$4:$I$13</c:f>
              <c:numCache>
                <c:formatCode>General</c:formatCode>
                <c:ptCount val="10"/>
                <c:pt idx="0">
                  <c:v>200</c:v>
                </c:pt>
                <c:pt idx="1">
                  <c:v>350</c:v>
                </c:pt>
                <c:pt idx="2">
                  <c:v>400</c:v>
                </c:pt>
                <c:pt idx="3">
                  <c:v>200</c:v>
                </c:pt>
                <c:pt idx="4">
                  <c:v>250</c:v>
                </c:pt>
                <c:pt idx="5">
                  <c:v>300</c:v>
                </c:pt>
                <c:pt idx="6">
                  <c:v>350</c:v>
                </c:pt>
                <c:pt idx="7">
                  <c:v>220</c:v>
                </c:pt>
                <c:pt idx="8">
                  <c:v>280</c:v>
                </c:pt>
                <c:pt idx="9">
                  <c:v>400</c:v>
                </c:pt>
              </c:numCache>
            </c:numRef>
          </c:xVal>
          <c:yVal>
            <c:numRef>
              <c:f>'גרפים 1'!$J$4:$J$13</c:f>
            </c:numRef>
          </c:yVal>
          <c:smooth val="0"/>
          <c:extLst>
            <c:ext xmlns:c16="http://schemas.microsoft.com/office/drawing/2014/chart" uri="{C3380CC4-5D6E-409C-BE32-E72D297353CC}">
              <c16:uniqueId val="{00000000-FAE5-4154-9150-65DD1F2F7980}"/>
            </c:ext>
          </c:extLst>
        </c:ser>
        <c:ser>
          <c:idx val="1"/>
          <c:order val="1"/>
          <c:tx>
            <c:strRef>
              <c:f>'גרפים 1'!$K$3</c:f>
              <c:strCache>
                <c:ptCount val="1"/>
                <c:pt idx="0">
                  <c:v>היקף היבול (טון)</c:v>
                </c:pt>
              </c:strCache>
            </c:strRef>
          </c:tx>
          <c:spPr>
            <a:ln w="28575"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1"/>
            <c:trendlineLbl>
              <c:layout>
                <c:manualLayout>
                  <c:x val="-6.7598643919510065E-2"/>
                  <c:y val="3.27974628171478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trendlineLbl>
          </c:trendline>
          <c:xVal>
            <c:numRef>
              <c:f>'גרפים 1'!$I$4:$I$13</c:f>
              <c:numCache>
                <c:formatCode>General</c:formatCode>
                <c:ptCount val="10"/>
                <c:pt idx="0">
                  <c:v>200</c:v>
                </c:pt>
                <c:pt idx="1">
                  <c:v>350</c:v>
                </c:pt>
                <c:pt idx="2">
                  <c:v>400</c:v>
                </c:pt>
                <c:pt idx="3">
                  <c:v>200</c:v>
                </c:pt>
                <c:pt idx="4">
                  <c:v>250</c:v>
                </c:pt>
                <c:pt idx="5">
                  <c:v>300</c:v>
                </c:pt>
                <c:pt idx="6">
                  <c:v>350</c:v>
                </c:pt>
                <c:pt idx="7">
                  <c:v>220</c:v>
                </c:pt>
                <c:pt idx="8">
                  <c:v>280</c:v>
                </c:pt>
                <c:pt idx="9">
                  <c:v>400</c:v>
                </c:pt>
              </c:numCache>
            </c:numRef>
          </c:xVal>
          <c:yVal>
            <c:numRef>
              <c:f>'גרפים 1'!$K$4:$K$13</c:f>
              <c:numCache>
                <c:formatCode>General</c:formatCode>
                <c:ptCount val="10"/>
                <c:pt idx="0">
                  <c:v>305.1717480315956</c:v>
                </c:pt>
                <c:pt idx="1">
                  <c:v>538.66881037901317</c:v>
                </c:pt>
                <c:pt idx="2">
                  <c:v>610.01405136322717</c:v>
                </c:pt>
                <c:pt idx="3">
                  <c:v>316.28476913560206</c:v>
                </c:pt>
                <c:pt idx="4">
                  <c:v>387.50174961641659</c:v>
                </c:pt>
                <c:pt idx="5">
                  <c:v>466.85613318733658</c:v>
                </c:pt>
                <c:pt idx="6">
                  <c:v>545.0797936636535</c:v>
                </c:pt>
                <c:pt idx="7">
                  <c:v>348.83120503599446</c:v>
                </c:pt>
                <c:pt idx="8">
                  <c:v>424.45941002433852</c:v>
                </c:pt>
                <c:pt idx="9">
                  <c:v>621.8800732356151</c:v>
                </c:pt>
              </c:numCache>
            </c:numRef>
          </c:yVal>
          <c:smooth val="0"/>
          <c:extLst>
            <c:ext xmlns:c16="http://schemas.microsoft.com/office/drawing/2014/chart" uri="{C3380CC4-5D6E-409C-BE32-E72D297353CC}">
              <c16:uniqueId val="{00000001-FAE5-4154-9150-65DD1F2F7980}"/>
            </c:ext>
          </c:extLst>
        </c:ser>
        <c:dLbls>
          <c:showLegendKey val="0"/>
          <c:showVal val="0"/>
          <c:showCatName val="0"/>
          <c:showSerName val="0"/>
          <c:showPercent val="0"/>
          <c:showBubbleSize val="0"/>
        </c:dLbls>
        <c:axId val="416314328"/>
        <c:axId val="416320232"/>
      </c:scatterChart>
      <c:valAx>
        <c:axId val="416314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6320232"/>
        <c:crosses val="autoZero"/>
        <c:crossBetween val="midCat"/>
      </c:valAx>
      <c:valAx>
        <c:axId val="416320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63143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lineChart>
        <c:grouping val="standard"/>
        <c:varyColors val="0"/>
        <c:ser>
          <c:idx val="1"/>
          <c:order val="1"/>
          <c:tx>
            <c:strRef>
              <c:f>'גרפים 2'!$C$1</c:f>
              <c:strCache>
                <c:ptCount val="1"/>
                <c:pt idx="0">
                  <c:v>מובטלים</c:v>
                </c:pt>
              </c:strCache>
            </c:strRef>
          </c:tx>
          <c:spPr>
            <a:ln w="28575" cap="rnd">
              <a:solidFill>
                <a:schemeClr val="accent2"/>
              </a:solidFill>
              <a:round/>
            </a:ln>
            <a:effectLst/>
          </c:spPr>
          <c:marker>
            <c:symbol val="none"/>
          </c:marker>
          <c:val>
            <c:numRef>
              <c:f>'גרפים 2'!$C$2:$C$9</c:f>
              <c:numCache>
                <c:formatCode>General</c:formatCode>
                <c:ptCount val="8"/>
                <c:pt idx="0">
                  <c:v>0</c:v>
                </c:pt>
                <c:pt idx="1">
                  <c:v>1000</c:v>
                </c:pt>
                <c:pt idx="2">
                  <c:v>1500</c:v>
                </c:pt>
                <c:pt idx="3">
                  <c:v>2000</c:v>
                </c:pt>
                <c:pt idx="4">
                  <c:v>2500</c:v>
                </c:pt>
                <c:pt idx="5">
                  <c:v>2500</c:v>
                </c:pt>
                <c:pt idx="6">
                  <c:v>3000</c:v>
                </c:pt>
                <c:pt idx="7">
                  <c:v>4000</c:v>
                </c:pt>
              </c:numCache>
            </c:numRef>
          </c:val>
          <c:smooth val="0"/>
          <c:extLst>
            <c:ext xmlns:c16="http://schemas.microsoft.com/office/drawing/2014/chart" uri="{C3380CC4-5D6E-409C-BE32-E72D297353CC}">
              <c16:uniqueId val="{00000001-EF6D-4CE0-80B0-F2A4EA3579AC}"/>
            </c:ext>
          </c:extLst>
        </c:ser>
        <c:ser>
          <c:idx val="2"/>
          <c:order val="2"/>
          <c:tx>
            <c:strRef>
              <c:f>'גרפים 2'!$D$1</c:f>
              <c:strCache>
                <c:ptCount val="1"/>
                <c:pt idx="0">
                  <c:v>סטודנטים עובדים</c:v>
                </c:pt>
              </c:strCache>
            </c:strRef>
          </c:tx>
          <c:spPr>
            <a:ln w="28575" cap="rnd">
              <a:solidFill>
                <a:schemeClr val="accent3"/>
              </a:solidFill>
              <a:round/>
            </a:ln>
            <a:effectLst/>
          </c:spPr>
          <c:marker>
            <c:symbol val="none"/>
          </c:marker>
          <c:val>
            <c:numRef>
              <c:f>'גרפים 2'!$D$2:$D$9</c:f>
              <c:numCache>
                <c:formatCode>General</c:formatCode>
                <c:ptCount val="8"/>
                <c:pt idx="0">
                  <c:v>0</c:v>
                </c:pt>
                <c:pt idx="1">
                  <c:v>500</c:v>
                </c:pt>
                <c:pt idx="2">
                  <c:v>1500</c:v>
                </c:pt>
                <c:pt idx="3">
                  <c:v>2000</c:v>
                </c:pt>
                <c:pt idx="4">
                  <c:v>2500</c:v>
                </c:pt>
                <c:pt idx="5">
                  <c:v>3500</c:v>
                </c:pt>
                <c:pt idx="6">
                  <c:v>4500</c:v>
                </c:pt>
                <c:pt idx="7">
                  <c:v>5000</c:v>
                </c:pt>
              </c:numCache>
            </c:numRef>
          </c:val>
          <c:smooth val="0"/>
          <c:extLst>
            <c:ext xmlns:c16="http://schemas.microsoft.com/office/drawing/2014/chart" uri="{C3380CC4-5D6E-409C-BE32-E72D297353CC}">
              <c16:uniqueId val="{00000002-EF6D-4CE0-80B0-F2A4EA3579AC}"/>
            </c:ext>
          </c:extLst>
        </c:ser>
        <c:dLbls>
          <c:showLegendKey val="0"/>
          <c:showVal val="0"/>
          <c:showCatName val="0"/>
          <c:showSerName val="0"/>
          <c:showPercent val="0"/>
          <c:showBubbleSize val="0"/>
        </c:dLbls>
        <c:marker val="1"/>
        <c:smooth val="0"/>
        <c:axId val="520503960"/>
        <c:axId val="520502976"/>
      </c:lineChart>
      <c:lineChart>
        <c:grouping val="standard"/>
        <c:varyColors val="0"/>
        <c:ser>
          <c:idx val="0"/>
          <c:order val="0"/>
          <c:tx>
            <c:strRef>
              <c:f>'גרפים 2'!$B$1</c:f>
              <c:strCache>
                <c:ptCount val="1"/>
                <c:pt idx="0">
                  <c:v>כח העבודה</c:v>
                </c:pt>
              </c:strCache>
            </c:strRef>
          </c:tx>
          <c:spPr>
            <a:ln w="28575" cap="rnd">
              <a:solidFill>
                <a:schemeClr val="accent1"/>
              </a:solidFill>
              <a:round/>
            </a:ln>
            <a:effectLst/>
          </c:spPr>
          <c:marker>
            <c:symbol val="none"/>
          </c:marker>
          <c:val>
            <c:numRef>
              <c:f>'גרפים 2'!$B$2:$B$9</c:f>
              <c:numCache>
                <c:formatCode>General</c:formatCode>
                <c:ptCount val="8"/>
                <c:pt idx="0">
                  <c:v>50000</c:v>
                </c:pt>
                <c:pt idx="1">
                  <c:v>52000</c:v>
                </c:pt>
                <c:pt idx="2">
                  <c:v>53000</c:v>
                </c:pt>
                <c:pt idx="3">
                  <c:v>52500</c:v>
                </c:pt>
                <c:pt idx="4">
                  <c:v>54000</c:v>
                </c:pt>
                <c:pt idx="5">
                  <c:v>55000</c:v>
                </c:pt>
                <c:pt idx="6">
                  <c:v>55000</c:v>
                </c:pt>
                <c:pt idx="7">
                  <c:v>55000</c:v>
                </c:pt>
              </c:numCache>
            </c:numRef>
          </c:val>
          <c:smooth val="0"/>
          <c:extLst>
            <c:ext xmlns:c16="http://schemas.microsoft.com/office/drawing/2014/chart" uri="{C3380CC4-5D6E-409C-BE32-E72D297353CC}">
              <c16:uniqueId val="{00000000-EF6D-4CE0-80B0-F2A4EA3579AC}"/>
            </c:ext>
          </c:extLst>
        </c:ser>
        <c:dLbls>
          <c:showLegendKey val="0"/>
          <c:showVal val="0"/>
          <c:showCatName val="0"/>
          <c:showSerName val="0"/>
          <c:showPercent val="0"/>
          <c:showBubbleSize val="0"/>
        </c:dLbls>
        <c:marker val="1"/>
        <c:smooth val="0"/>
        <c:axId val="520502320"/>
        <c:axId val="520509208"/>
      </c:lineChart>
      <c:catAx>
        <c:axId val="520503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0502976"/>
        <c:crosses val="autoZero"/>
        <c:auto val="1"/>
        <c:lblAlgn val="ctr"/>
        <c:lblOffset val="100"/>
        <c:noMultiLvlLbl val="0"/>
      </c:catAx>
      <c:valAx>
        <c:axId val="52050297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0503960"/>
        <c:crosses val="autoZero"/>
        <c:crossBetween val="between"/>
      </c:valAx>
      <c:valAx>
        <c:axId val="5205092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0502320"/>
        <c:crosses val="max"/>
        <c:crossBetween val="between"/>
      </c:valAx>
      <c:catAx>
        <c:axId val="520502320"/>
        <c:scaling>
          <c:orientation val="minMax"/>
        </c:scaling>
        <c:delete val="1"/>
        <c:axPos val="b"/>
        <c:majorTickMark val="out"/>
        <c:minorTickMark val="none"/>
        <c:tickLblPos val="nextTo"/>
        <c:crossAx val="52050920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lineChart>
        <c:grouping val="standard"/>
        <c:varyColors val="0"/>
        <c:ser>
          <c:idx val="0"/>
          <c:order val="0"/>
          <c:tx>
            <c:strRef>
              <c:f>'גרפים 2'!$B$1</c:f>
              <c:strCache>
                <c:ptCount val="1"/>
                <c:pt idx="0">
                  <c:v>כח העבודה</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0.2352150043744532"/>
                  <c:y val="-2.8240740740740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trendlineLbl>
          </c:trendline>
          <c:cat>
            <c:numRef>
              <c:f>'גרפים 2'!$A$2:$A$9</c:f>
              <c:numCache>
                <c:formatCode>General</c:formatCode>
                <c:ptCount val="8"/>
                <c:pt idx="0">
                  <c:v>2005</c:v>
                </c:pt>
                <c:pt idx="1">
                  <c:v>2006</c:v>
                </c:pt>
                <c:pt idx="2">
                  <c:v>2007</c:v>
                </c:pt>
                <c:pt idx="3">
                  <c:v>2008</c:v>
                </c:pt>
                <c:pt idx="4">
                  <c:v>2009</c:v>
                </c:pt>
                <c:pt idx="5">
                  <c:v>2010</c:v>
                </c:pt>
                <c:pt idx="6">
                  <c:v>2011</c:v>
                </c:pt>
                <c:pt idx="7">
                  <c:v>2012</c:v>
                </c:pt>
              </c:numCache>
            </c:numRef>
          </c:cat>
          <c:val>
            <c:numRef>
              <c:f>'גרפים 2'!$B$2:$B$9</c:f>
              <c:numCache>
                <c:formatCode>General</c:formatCode>
                <c:ptCount val="8"/>
                <c:pt idx="0">
                  <c:v>50000</c:v>
                </c:pt>
                <c:pt idx="1">
                  <c:v>52000</c:v>
                </c:pt>
                <c:pt idx="2">
                  <c:v>53000</c:v>
                </c:pt>
                <c:pt idx="3">
                  <c:v>52500</c:v>
                </c:pt>
                <c:pt idx="4">
                  <c:v>54000</c:v>
                </c:pt>
                <c:pt idx="5">
                  <c:v>55000</c:v>
                </c:pt>
                <c:pt idx="6">
                  <c:v>55000</c:v>
                </c:pt>
                <c:pt idx="7">
                  <c:v>55000</c:v>
                </c:pt>
              </c:numCache>
            </c:numRef>
          </c:val>
          <c:smooth val="0"/>
          <c:extLst>
            <c:ext xmlns:c16="http://schemas.microsoft.com/office/drawing/2014/chart" uri="{C3380CC4-5D6E-409C-BE32-E72D297353CC}">
              <c16:uniqueId val="{00000000-FC85-4F00-ADF0-41E99A7EE422}"/>
            </c:ext>
          </c:extLst>
        </c:ser>
        <c:dLbls>
          <c:showLegendKey val="0"/>
          <c:showVal val="0"/>
          <c:showCatName val="0"/>
          <c:showSerName val="0"/>
          <c:showPercent val="0"/>
          <c:showBubbleSize val="0"/>
        </c:dLbls>
        <c:marker val="1"/>
        <c:smooth val="0"/>
        <c:axId val="516103104"/>
        <c:axId val="516102776"/>
      </c:lineChart>
      <c:lineChart>
        <c:grouping val="standard"/>
        <c:varyColors val="0"/>
        <c:ser>
          <c:idx val="1"/>
          <c:order val="1"/>
          <c:tx>
            <c:strRef>
              <c:f>'גרפים 2'!$C$1</c:f>
              <c:strCache>
                <c:ptCount val="1"/>
                <c:pt idx="0">
                  <c:v>מובטלים</c:v>
                </c:pt>
              </c:strCache>
            </c:strRef>
          </c:tx>
          <c:spPr>
            <a:ln w="28575" cap="rnd">
              <a:solidFill>
                <a:schemeClr val="accent2"/>
              </a:solidFill>
              <a:round/>
            </a:ln>
            <a:effectLst/>
          </c:spPr>
          <c:marker>
            <c:symbol val="none"/>
          </c:marker>
          <c:cat>
            <c:numRef>
              <c:f>'גרפים 2'!$A$2:$A$9</c:f>
              <c:numCache>
                <c:formatCode>General</c:formatCode>
                <c:ptCount val="8"/>
                <c:pt idx="0">
                  <c:v>2005</c:v>
                </c:pt>
                <c:pt idx="1">
                  <c:v>2006</c:v>
                </c:pt>
                <c:pt idx="2">
                  <c:v>2007</c:v>
                </c:pt>
                <c:pt idx="3">
                  <c:v>2008</c:v>
                </c:pt>
                <c:pt idx="4">
                  <c:v>2009</c:v>
                </c:pt>
                <c:pt idx="5">
                  <c:v>2010</c:v>
                </c:pt>
                <c:pt idx="6">
                  <c:v>2011</c:v>
                </c:pt>
                <c:pt idx="7">
                  <c:v>2012</c:v>
                </c:pt>
              </c:numCache>
            </c:numRef>
          </c:cat>
          <c:val>
            <c:numRef>
              <c:f>'גרפים 2'!$C$2:$C$9</c:f>
              <c:numCache>
                <c:formatCode>General</c:formatCode>
                <c:ptCount val="8"/>
                <c:pt idx="0">
                  <c:v>0</c:v>
                </c:pt>
                <c:pt idx="1">
                  <c:v>1000</c:v>
                </c:pt>
                <c:pt idx="2">
                  <c:v>1500</c:v>
                </c:pt>
                <c:pt idx="3">
                  <c:v>2000</c:v>
                </c:pt>
                <c:pt idx="4">
                  <c:v>2500</c:v>
                </c:pt>
                <c:pt idx="5">
                  <c:v>2500</c:v>
                </c:pt>
                <c:pt idx="6">
                  <c:v>3000</c:v>
                </c:pt>
                <c:pt idx="7">
                  <c:v>4000</c:v>
                </c:pt>
              </c:numCache>
            </c:numRef>
          </c:val>
          <c:smooth val="0"/>
          <c:extLst>
            <c:ext xmlns:c16="http://schemas.microsoft.com/office/drawing/2014/chart" uri="{C3380CC4-5D6E-409C-BE32-E72D297353CC}">
              <c16:uniqueId val="{00000001-FC85-4F00-ADF0-41E99A7EE422}"/>
            </c:ext>
          </c:extLst>
        </c:ser>
        <c:ser>
          <c:idx val="2"/>
          <c:order val="2"/>
          <c:tx>
            <c:strRef>
              <c:f>'גרפים 2'!$D$1</c:f>
              <c:strCache>
                <c:ptCount val="1"/>
                <c:pt idx="0">
                  <c:v>סטודנטים עובדים</c:v>
                </c:pt>
              </c:strCache>
            </c:strRef>
          </c:tx>
          <c:spPr>
            <a:ln w="28575" cap="rnd">
              <a:solidFill>
                <a:schemeClr val="accent3"/>
              </a:solidFill>
              <a:round/>
            </a:ln>
            <a:effectLst/>
          </c:spPr>
          <c:marker>
            <c:symbol val="none"/>
          </c:marker>
          <c:cat>
            <c:numRef>
              <c:f>'גרפים 2'!$A$2:$A$9</c:f>
              <c:numCache>
                <c:formatCode>General</c:formatCode>
                <c:ptCount val="8"/>
                <c:pt idx="0">
                  <c:v>2005</c:v>
                </c:pt>
                <c:pt idx="1">
                  <c:v>2006</c:v>
                </c:pt>
                <c:pt idx="2">
                  <c:v>2007</c:v>
                </c:pt>
                <c:pt idx="3">
                  <c:v>2008</c:v>
                </c:pt>
                <c:pt idx="4">
                  <c:v>2009</c:v>
                </c:pt>
                <c:pt idx="5">
                  <c:v>2010</c:v>
                </c:pt>
                <c:pt idx="6">
                  <c:v>2011</c:v>
                </c:pt>
                <c:pt idx="7">
                  <c:v>2012</c:v>
                </c:pt>
              </c:numCache>
            </c:numRef>
          </c:cat>
          <c:val>
            <c:numRef>
              <c:f>'גרפים 2'!$D$2:$D$9</c:f>
              <c:numCache>
                <c:formatCode>General</c:formatCode>
                <c:ptCount val="8"/>
                <c:pt idx="0">
                  <c:v>0</c:v>
                </c:pt>
                <c:pt idx="1">
                  <c:v>500</c:v>
                </c:pt>
                <c:pt idx="2">
                  <c:v>1500</c:v>
                </c:pt>
                <c:pt idx="3">
                  <c:v>2000</c:v>
                </c:pt>
                <c:pt idx="4">
                  <c:v>2500</c:v>
                </c:pt>
                <c:pt idx="5">
                  <c:v>3500</c:v>
                </c:pt>
                <c:pt idx="6">
                  <c:v>4500</c:v>
                </c:pt>
                <c:pt idx="7">
                  <c:v>5000</c:v>
                </c:pt>
              </c:numCache>
            </c:numRef>
          </c:val>
          <c:smooth val="0"/>
          <c:extLst>
            <c:ext xmlns:c16="http://schemas.microsoft.com/office/drawing/2014/chart" uri="{C3380CC4-5D6E-409C-BE32-E72D297353CC}">
              <c16:uniqueId val="{00000002-FC85-4F00-ADF0-41E99A7EE422}"/>
            </c:ext>
          </c:extLst>
        </c:ser>
        <c:dLbls>
          <c:showLegendKey val="0"/>
          <c:showVal val="0"/>
          <c:showCatName val="0"/>
          <c:showSerName val="0"/>
          <c:showPercent val="0"/>
          <c:showBubbleSize val="0"/>
        </c:dLbls>
        <c:marker val="1"/>
        <c:smooth val="0"/>
        <c:axId val="520493464"/>
        <c:axId val="520492808"/>
      </c:lineChart>
      <c:catAx>
        <c:axId val="51610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16102776"/>
        <c:crosses val="autoZero"/>
        <c:auto val="1"/>
        <c:lblAlgn val="ctr"/>
        <c:lblOffset val="100"/>
        <c:noMultiLvlLbl val="0"/>
      </c:catAx>
      <c:valAx>
        <c:axId val="516102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16103104"/>
        <c:crosses val="autoZero"/>
        <c:crossBetween val="between"/>
      </c:valAx>
      <c:valAx>
        <c:axId val="5204928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0493464"/>
        <c:crosses val="max"/>
        <c:crossBetween val="between"/>
      </c:valAx>
      <c:catAx>
        <c:axId val="520493464"/>
        <c:scaling>
          <c:orientation val="minMax"/>
        </c:scaling>
        <c:delete val="1"/>
        <c:axPos val="b"/>
        <c:numFmt formatCode="General" sourceLinked="1"/>
        <c:majorTickMark val="out"/>
        <c:minorTickMark val="none"/>
        <c:tickLblPos val="nextTo"/>
        <c:crossAx val="52049280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lineChart>
        <c:grouping val="standard"/>
        <c:varyColors val="0"/>
        <c:ser>
          <c:idx val="0"/>
          <c:order val="0"/>
          <c:tx>
            <c:strRef>
              <c:f>'גרפים 3'!$C$3</c:f>
              <c:strCache>
                <c:ptCount val="1"/>
                <c:pt idx="0">
                  <c:v>ינואר</c:v>
                </c:pt>
              </c:strCache>
            </c:strRef>
          </c:tx>
          <c:spPr>
            <a:ln w="28575" cap="rnd">
              <a:solidFill>
                <a:schemeClr val="accent1"/>
              </a:solidFill>
              <a:round/>
            </a:ln>
            <a:effectLst/>
          </c:spPr>
          <c:marker>
            <c:symbol val="none"/>
          </c:marker>
          <c:cat>
            <c:multiLvlStrRef>
              <c:f>'גרפים 3'!$A$4:$B$10</c:f>
              <c:multiLvlStrCache>
                <c:ptCount val="7"/>
                <c:lvl>
                  <c:pt idx="0">
                    <c:v>תל-אביב </c:v>
                  </c:pt>
                  <c:pt idx="1">
                    <c:v>הרצליה</c:v>
                  </c:pt>
                  <c:pt idx="2">
                    <c:v>רחובות</c:v>
                  </c:pt>
                  <c:pt idx="3">
                    <c:v>חיפה</c:v>
                  </c:pt>
                  <c:pt idx="4">
                    <c:v>נהריה</c:v>
                  </c:pt>
                  <c:pt idx="5">
                    <c:v>באר שבע</c:v>
                  </c:pt>
                  <c:pt idx="6">
                    <c:v>אשדוד</c:v>
                  </c:pt>
                </c:lvl>
                <c:lvl>
                  <c:pt idx="0">
                    <c:v>אזור המרכז</c:v>
                  </c:pt>
                  <c:pt idx="1">
                    <c:v>אזור המרכז</c:v>
                  </c:pt>
                  <c:pt idx="2">
                    <c:v>אזור המרכז</c:v>
                  </c:pt>
                  <c:pt idx="3">
                    <c:v>אזור הצפון</c:v>
                  </c:pt>
                  <c:pt idx="4">
                    <c:v>אזור הצפון</c:v>
                  </c:pt>
                  <c:pt idx="5">
                    <c:v>אזור הדרום</c:v>
                  </c:pt>
                  <c:pt idx="6">
                    <c:v>אזור הדרום</c:v>
                  </c:pt>
                </c:lvl>
              </c:multiLvlStrCache>
            </c:multiLvlStrRef>
          </c:cat>
          <c:val>
            <c:numRef>
              <c:f>'גרפים 3'!$C$4:$C$10</c:f>
              <c:numCache>
                <c:formatCode>General</c:formatCode>
                <c:ptCount val="7"/>
                <c:pt idx="0">
                  <c:v>13</c:v>
                </c:pt>
                <c:pt idx="1">
                  <c:v>6</c:v>
                </c:pt>
                <c:pt idx="2">
                  <c:v>12</c:v>
                </c:pt>
                <c:pt idx="3">
                  <c:v>2</c:v>
                </c:pt>
                <c:pt idx="4">
                  <c:v>11</c:v>
                </c:pt>
                <c:pt idx="5">
                  <c:v>14</c:v>
                </c:pt>
                <c:pt idx="6">
                  <c:v>16</c:v>
                </c:pt>
              </c:numCache>
            </c:numRef>
          </c:val>
          <c:smooth val="0"/>
          <c:extLst>
            <c:ext xmlns:c16="http://schemas.microsoft.com/office/drawing/2014/chart" uri="{C3380CC4-5D6E-409C-BE32-E72D297353CC}">
              <c16:uniqueId val="{00000000-A03E-40A5-BFB1-8132B928C58B}"/>
            </c:ext>
          </c:extLst>
        </c:ser>
        <c:ser>
          <c:idx val="1"/>
          <c:order val="1"/>
          <c:tx>
            <c:strRef>
              <c:f>'גרפים 3'!$D$3</c:f>
              <c:strCache>
                <c:ptCount val="1"/>
                <c:pt idx="0">
                  <c:v>פברואר</c:v>
                </c:pt>
              </c:strCache>
            </c:strRef>
          </c:tx>
          <c:spPr>
            <a:ln w="28575" cap="rnd">
              <a:solidFill>
                <a:schemeClr val="accent2"/>
              </a:solidFill>
              <a:round/>
            </a:ln>
            <a:effectLst/>
          </c:spPr>
          <c:marker>
            <c:symbol val="none"/>
          </c:marker>
          <c:cat>
            <c:multiLvlStrRef>
              <c:f>'גרפים 3'!$A$4:$B$10</c:f>
              <c:multiLvlStrCache>
                <c:ptCount val="7"/>
                <c:lvl>
                  <c:pt idx="0">
                    <c:v>תל-אביב </c:v>
                  </c:pt>
                  <c:pt idx="1">
                    <c:v>הרצליה</c:v>
                  </c:pt>
                  <c:pt idx="2">
                    <c:v>רחובות</c:v>
                  </c:pt>
                  <c:pt idx="3">
                    <c:v>חיפה</c:v>
                  </c:pt>
                  <c:pt idx="4">
                    <c:v>נהריה</c:v>
                  </c:pt>
                  <c:pt idx="5">
                    <c:v>באר שבע</c:v>
                  </c:pt>
                  <c:pt idx="6">
                    <c:v>אשדוד</c:v>
                  </c:pt>
                </c:lvl>
                <c:lvl>
                  <c:pt idx="0">
                    <c:v>אזור המרכז</c:v>
                  </c:pt>
                  <c:pt idx="1">
                    <c:v>אזור המרכז</c:v>
                  </c:pt>
                  <c:pt idx="2">
                    <c:v>אזור המרכז</c:v>
                  </c:pt>
                  <c:pt idx="3">
                    <c:v>אזור הצפון</c:v>
                  </c:pt>
                  <c:pt idx="4">
                    <c:v>אזור הצפון</c:v>
                  </c:pt>
                  <c:pt idx="5">
                    <c:v>אזור הדרום</c:v>
                  </c:pt>
                  <c:pt idx="6">
                    <c:v>אזור הדרום</c:v>
                  </c:pt>
                </c:lvl>
              </c:multiLvlStrCache>
            </c:multiLvlStrRef>
          </c:cat>
          <c:val>
            <c:numRef>
              <c:f>'גרפים 3'!$D$4:$D$10</c:f>
              <c:numCache>
                <c:formatCode>General</c:formatCode>
                <c:ptCount val="7"/>
                <c:pt idx="0">
                  <c:v>13</c:v>
                </c:pt>
                <c:pt idx="1">
                  <c:v>8</c:v>
                </c:pt>
                <c:pt idx="2">
                  <c:v>12</c:v>
                </c:pt>
                <c:pt idx="3">
                  <c:v>2</c:v>
                </c:pt>
                <c:pt idx="4">
                  <c:v>13</c:v>
                </c:pt>
                <c:pt idx="5">
                  <c:v>18</c:v>
                </c:pt>
                <c:pt idx="6">
                  <c:v>16</c:v>
                </c:pt>
              </c:numCache>
            </c:numRef>
          </c:val>
          <c:smooth val="0"/>
          <c:extLst>
            <c:ext xmlns:c16="http://schemas.microsoft.com/office/drawing/2014/chart" uri="{C3380CC4-5D6E-409C-BE32-E72D297353CC}">
              <c16:uniqueId val="{00000001-A03E-40A5-BFB1-8132B928C58B}"/>
            </c:ext>
          </c:extLst>
        </c:ser>
        <c:ser>
          <c:idx val="2"/>
          <c:order val="2"/>
          <c:tx>
            <c:strRef>
              <c:f>'גרפים 3'!$E$3</c:f>
              <c:strCache>
                <c:ptCount val="1"/>
                <c:pt idx="0">
                  <c:v>מרץ</c:v>
                </c:pt>
              </c:strCache>
            </c:strRef>
          </c:tx>
          <c:spPr>
            <a:ln w="28575" cap="rnd">
              <a:solidFill>
                <a:schemeClr val="accent3"/>
              </a:solidFill>
              <a:round/>
            </a:ln>
            <a:effectLst/>
          </c:spPr>
          <c:marker>
            <c:symbol val="none"/>
          </c:marker>
          <c:cat>
            <c:multiLvlStrRef>
              <c:f>'גרפים 3'!$A$4:$B$10</c:f>
              <c:multiLvlStrCache>
                <c:ptCount val="7"/>
                <c:lvl>
                  <c:pt idx="0">
                    <c:v>תל-אביב </c:v>
                  </c:pt>
                  <c:pt idx="1">
                    <c:v>הרצליה</c:v>
                  </c:pt>
                  <c:pt idx="2">
                    <c:v>רחובות</c:v>
                  </c:pt>
                  <c:pt idx="3">
                    <c:v>חיפה</c:v>
                  </c:pt>
                  <c:pt idx="4">
                    <c:v>נהריה</c:v>
                  </c:pt>
                  <c:pt idx="5">
                    <c:v>באר שבע</c:v>
                  </c:pt>
                  <c:pt idx="6">
                    <c:v>אשדוד</c:v>
                  </c:pt>
                </c:lvl>
                <c:lvl>
                  <c:pt idx="0">
                    <c:v>אזור המרכז</c:v>
                  </c:pt>
                  <c:pt idx="1">
                    <c:v>אזור המרכז</c:v>
                  </c:pt>
                  <c:pt idx="2">
                    <c:v>אזור המרכז</c:v>
                  </c:pt>
                  <c:pt idx="3">
                    <c:v>אזור הצפון</c:v>
                  </c:pt>
                  <c:pt idx="4">
                    <c:v>אזור הצפון</c:v>
                  </c:pt>
                  <c:pt idx="5">
                    <c:v>אזור הדרום</c:v>
                  </c:pt>
                  <c:pt idx="6">
                    <c:v>אזור הדרום</c:v>
                  </c:pt>
                </c:lvl>
              </c:multiLvlStrCache>
            </c:multiLvlStrRef>
          </c:cat>
          <c:val>
            <c:numRef>
              <c:f>'גרפים 3'!$E$4:$E$10</c:f>
              <c:numCache>
                <c:formatCode>General</c:formatCode>
                <c:ptCount val="7"/>
                <c:pt idx="0">
                  <c:v>14</c:v>
                </c:pt>
                <c:pt idx="1">
                  <c:v>10</c:v>
                </c:pt>
                <c:pt idx="2">
                  <c:v>12</c:v>
                </c:pt>
                <c:pt idx="3">
                  <c:v>2</c:v>
                </c:pt>
                <c:pt idx="4">
                  <c:v>15</c:v>
                </c:pt>
                <c:pt idx="5">
                  <c:v>2</c:v>
                </c:pt>
                <c:pt idx="6">
                  <c:v>11</c:v>
                </c:pt>
              </c:numCache>
            </c:numRef>
          </c:val>
          <c:smooth val="0"/>
          <c:extLst>
            <c:ext xmlns:c16="http://schemas.microsoft.com/office/drawing/2014/chart" uri="{C3380CC4-5D6E-409C-BE32-E72D297353CC}">
              <c16:uniqueId val="{00000002-A03E-40A5-BFB1-8132B928C58B}"/>
            </c:ext>
          </c:extLst>
        </c:ser>
        <c:dLbls>
          <c:showLegendKey val="0"/>
          <c:showVal val="0"/>
          <c:showCatName val="0"/>
          <c:showSerName val="0"/>
          <c:showPercent val="0"/>
          <c:showBubbleSize val="0"/>
        </c:dLbls>
        <c:smooth val="0"/>
        <c:axId val="523786888"/>
        <c:axId val="523791152"/>
      </c:lineChart>
      <c:catAx>
        <c:axId val="523786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3791152"/>
        <c:crosses val="autoZero"/>
        <c:auto val="1"/>
        <c:lblAlgn val="ctr"/>
        <c:lblOffset val="100"/>
        <c:noMultiLvlLbl val="0"/>
      </c:catAx>
      <c:valAx>
        <c:axId val="523791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378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scatterChart>
        <c:scatterStyle val="lineMarker"/>
        <c:varyColors val="0"/>
        <c:ser>
          <c:idx val="0"/>
          <c:order val="0"/>
          <c:tx>
            <c:strRef>
              <c:f>'גרפים 3'!$B$16</c:f>
              <c:strCache>
                <c:ptCount val="1"/>
                <c:pt idx="0">
                  <c:v>מרחק טיסה 1</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1099956255468066"/>
                  <c:y val="1.46358267716535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trendlineLbl>
          </c:trendline>
          <c:xVal>
            <c:numRef>
              <c:f>'גרפים 3'!$A$17:$A$26</c:f>
              <c:numCache>
                <c:formatCode>General</c:formatCode>
                <c:ptCount val="10"/>
                <c:pt idx="0">
                  <c:v>100</c:v>
                </c:pt>
                <c:pt idx="1">
                  <c:v>200</c:v>
                </c:pt>
                <c:pt idx="2">
                  <c:v>300</c:v>
                </c:pt>
                <c:pt idx="3">
                  <c:v>400</c:v>
                </c:pt>
                <c:pt idx="4">
                  <c:v>500</c:v>
                </c:pt>
                <c:pt idx="5">
                  <c:v>600</c:v>
                </c:pt>
                <c:pt idx="6">
                  <c:v>700</c:v>
                </c:pt>
                <c:pt idx="7">
                  <c:v>800</c:v>
                </c:pt>
                <c:pt idx="8">
                  <c:v>900</c:v>
                </c:pt>
                <c:pt idx="9">
                  <c:v>1000</c:v>
                </c:pt>
              </c:numCache>
            </c:numRef>
          </c:xVal>
          <c:yVal>
            <c:numRef>
              <c:f>'גרפים 3'!$B$17:$B$26</c:f>
              <c:numCache>
                <c:formatCode>General</c:formatCode>
                <c:ptCount val="10"/>
                <c:pt idx="0">
                  <c:v>500</c:v>
                </c:pt>
                <c:pt idx="1">
                  <c:v>1000</c:v>
                </c:pt>
                <c:pt idx="2">
                  <c:v>1500</c:v>
                </c:pt>
                <c:pt idx="3">
                  <c:v>2000</c:v>
                </c:pt>
                <c:pt idx="4">
                  <c:v>2500</c:v>
                </c:pt>
                <c:pt idx="5">
                  <c:v>3000</c:v>
                </c:pt>
                <c:pt idx="6">
                  <c:v>3500</c:v>
                </c:pt>
                <c:pt idx="7">
                  <c:v>4000</c:v>
                </c:pt>
                <c:pt idx="8">
                  <c:v>4500</c:v>
                </c:pt>
                <c:pt idx="9">
                  <c:v>5000</c:v>
                </c:pt>
              </c:numCache>
            </c:numRef>
          </c:yVal>
          <c:smooth val="0"/>
          <c:extLst>
            <c:ext xmlns:c16="http://schemas.microsoft.com/office/drawing/2014/chart" uri="{C3380CC4-5D6E-409C-BE32-E72D297353CC}">
              <c16:uniqueId val="{00000000-CE0B-427B-94CE-D32EB91F2AA7}"/>
            </c:ext>
          </c:extLst>
        </c:ser>
        <c:dLbls>
          <c:showLegendKey val="0"/>
          <c:showVal val="0"/>
          <c:showCatName val="0"/>
          <c:showSerName val="0"/>
          <c:showPercent val="0"/>
          <c:showBubbleSize val="0"/>
        </c:dLbls>
        <c:axId val="412831576"/>
        <c:axId val="412830592"/>
      </c:scatterChart>
      <c:valAx>
        <c:axId val="412831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2830592"/>
        <c:crosses val="autoZero"/>
        <c:crossBetween val="midCat"/>
      </c:valAx>
      <c:valAx>
        <c:axId val="41283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128315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scatterChart>
        <c:scatterStyle val="lineMarker"/>
        <c:varyColors val="0"/>
        <c:ser>
          <c:idx val="0"/>
          <c:order val="0"/>
          <c:tx>
            <c:strRef>
              <c:f>'גרפים 3'!$C$16</c:f>
              <c:strCache>
                <c:ptCount val="1"/>
                <c:pt idx="0">
                  <c:v>מרחק טיסה 3</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trendlineLbl>
          </c:trendline>
          <c:xVal>
            <c:numRef>
              <c:f>'גרפים 3'!$A$17:$A$26</c:f>
              <c:numCache>
                <c:formatCode>General</c:formatCode>
                <c:ptCount val="10"/>
                <c:pt idx="0">
                  <c:v>100</c:v>
                </c:pt>
                <c:pt idx="1">
                  <c:v>200</c:v>
                </c:pt>
                <c:pt idx="2">
                  <c:v>300</c:v>
                </c:pt>
                <c:pt idx="3">
                  <c:v>400</c:v>
                </c:pt>
                <c:pt idx="4">
                  <c:v>500</c:v>
                </c:pt>
                <c:pt idx="5">
                  <c:v>600</c:v>
                </c:pt>
                <c:pt idx="6">
                  <c:v>700</c:v>
                </c:pt>
                <c:pt idx="7">
                  <c:v>800</c:v>
                </c:pt>
                <c:pt idx="8">
                  <c:v>900</c:v>
                </c:pt>
                <c:pt idx="9">
                  <c:v>1000</c:v>
                </c:pt>
              </c:numCache>
            </c:numRef>
          </c:xVal>
          <c:yVal>
            <c:numRef>
              <c:f>'גרפים 3'!$C$17:$C$26</c:f>
              <c:numCache>
                <c:formatCode>0</c:formatCode>
                <c:ptCount val="10"/>
                <c:pt idx="0">
                  <c:v>3000.9131224150169</c:v>
                </c:pt>
                <c:pt idx="1">
                  <c:v>12001.302504079415</c:v>
                </c:pt>
                <c:pt idx="2">
                  <c:v>27001.233506073044</c:v>
                </c:pt>
                <c:pt idx="3">
                  <c:v>48000.926822720736</c:v>
                </c:pt>
                <c:pt idx="4">
                  <c:v>75001.422345263476</c:v>
                </c:pt>
                <c:pt idx="5">
                  <c:v>108000.94324732096</c:v>
                </c:pt>
                <c:pt idx="6">
                  <c:v>147000.30696880119</c:v>
                </c:pt>
                <c:pt idx="7">
                  <c:v>192000.71515964007</c:v>
                </c:pt>
                <c:pt idx="8">
                  <c:v>243000.63814102625</c:v>
                </c:pt>
                <c:pt idx="9">
                  <c:v>300000.77125717665</c:v>
                </c:pt>
              </c:numCache>
            </c:numRef>
          </c:yVal>
          <c:smooth val="0"/>
          <c:extLst>
            <c:ext xmlns:c16="http://schemas.microsoft.com/office/drawing/2014/chart" uri="{C3380CC4-5D6E-409C-BE32-E72D297353CC}">
              <c16:uniqueId val="{00000000-6352-4EF2-9801-CE74D6397F12}"/>
            </c:ext>
          </c:extLst>
        </c:ser>
        <c:dLbls>
          <c:showLegendKey val="0"/>
          <c:showVal val="0"/>
          <c:showCatName val="0"/>
          <c:showSerName val="0"/>
          <c:showPercent val="0"/>
          <c:showBubbleSize val="0"/>
        </c:dLbls>
        <c:axId val="517726400"/>
        <c:axId val="517727056"/>
      </c:scatterChart>
      <c:valAx>
        <c:axId val="517726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17727056"/>
        <c:crosses val="autoZero"/>
        <c:crossBetween val="midCat"/>
      </c:valAx>
      <c:valAx>
        <c:axId val="5177270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177264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916537867078809E-2"/>
          <c:y val="0.12328822099841721"/>
          <c:w val="0.79289026275115915"/>
          <c:h val="0.65297094825087776"/>
        </c:manualLayout>
      </c:layout>
      <c:barChart>
        <c:barDir val="col"/>
        <c:grouping val="clustered"/>
        <c:varyColors val="0"/>
        <c:ser>
          <c:idx val="2"/>
          <c:order val="0"/>
          <c:tx>
            <c:strRef>
              <c:f>'גרפים 4'!$D$2</c:f>
              <c:strCache>
                <c:ptCount val="1"/>
                <c:pt idx="0">
                  <c:v>מוצר ג</c:v>
                </c:pt>
              </c:strCache>
            </c:strRef>
          </c:tx>
          <c:spPr>
            <a:solidFill>
              <a:srgbClr val="FFFFCC"/>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4'!$D$3:$D$6</c:f>
              <c:numCache>
                <c:formatCode>General</c:formatCode>
                <c:ptCount val="4"/>
                <c:pt idx="0">
                  <c:v>110</c:v>
                </c:pt>
                <c:pt idx="1">
                  <c:v>135</c:v>
                </c:pt>
                <c:pt idx="2">
                  <c:v>130</c:v>
                </c:pt>
                <c:pt idx="3">
                  <c:v>115</c:v>
                </c:pt>
              </c:numCache>
            </c:numRef>
          </c:val>
          <c:extLst>
            <c:ext xmlns:c16="http://schemas.microsoft.com/office/drawing/2014/chart" uri="{C3380CC4-5D6E-409C-BE32-E72D297353CC}">
              <c16:uniqueId val="{00000002-268A-452D-9A9B-070BCEB741C3}"/>
            </c:ext>
          </c:extLst>
        </c:ser>
        <c:ser>
          <c:idx val="0"/>
          <c:order val="1"/>
          <c:tx>
            <c:strRef>
              <c:f>'גרפים 4'!$B$2</c:f>
              <c:strCache>
                <c:ptCount val="1"/>
                <c:pt idx="0">
                  <c:v>מוצר א</c:v>
                </c:pt>
              </c:strCache>
            </c:strRef>
          </c:tx>
          <c:spPr>
            <a:solidFill>
              <a:srgbClr val="9999FF"/>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4'!$B$3:$B$6</c:f>
              <c:numCache>
                <c:formatCode>General</c:formatCode>
                <c:ptCount val="4"/>
                <c:pt idx="0">
                  <c:v>100</c:v>
                </c:pt>
                <c:pt idx="1">
                  <c:v>125</c:v>
                </c:pt>
                <c:pt idx="2">
                  <c:v>140</c:v>
                </c:pt>
                <c:pt idx="3">
                  <c:v>131</c:v>
                </c:pt>
              </c:numCache>
            </c:numRef>
          </c:val>
          <c:extLst>
            <c:ext xmlns:c16="http://schemas.microsoft.com/office/drawing/2014/chart" uri="{C3380CC4-5D6E-409C-BE32-E72D297353CC}">
              <c16:uniqueId val="{00000000-268A-452D-9A9B-070BCEB741C3}"/>
            </c:ext>
          </c:extLst>
        </c:ser>
        <c:dLbls>
          <c:showLegendKey val="0"/>
          <c:showVal val="0"/>
          <c:showCatName val="0"/>
          <c:showSerName val="0"/>
          <c:showPercent val="0"/>
          <c:showBubbleSize val="0"/>
        </c:dLbls>
        <c:gapWidth val="150"/>
        <c:axId val="377561848"/>
        <c:axId val="377563024"/>
      </c:barChart>
      <c:catAx>
        <c:axId val="377561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he-IL"/>
          </a:p>
        </c:txPr>
        <c:crossAx val="377563024"/>
        <c:crosses val="autoZero"/>
        <c:auto val="1"/>
        <c:lblAlgn val="ctr"/>
        <c:lblOffset val="100"/>
        <c:tickLblSkip val="1"/>
        <c:tickMarkSkip val="1"/>
        <c:noMultiLvlLbl val="0"/>
      </c:catAx>
      <c:valAx>
        <c:axId val="377563024"/>
        <c:scaling>
          <c:orientation val="minMax"/>
          <c:max val="16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he-IL"/>
          </a:p>
        </c:txPr>
        <c:crossAx val="377561848"/>
        <c:crosses val="autoZero"/>
        <c:crossBetween val="between"/>
        <c:majorUnit val="20"/>
      </c:valAx>
      <c:spPr>
        <a:solidFill>
          <a:srgbClr val="C0C0C0"/>
        </a:solidFill>
        <a:ln w="12700">
          <a:solidFill>
            <a:srgbClr val="808080"/>
          </a:solidFill>
          <a:prstDash val="solid"/>
        </a:ln>
      </c:spPr>
    </c:plotArea>
    <c:legend>
      <c:legendPos val="r"/>
      <c:layout>
        <c:manualLayout>
          <c:xMode val="edge"/>
          <c:yMode val="edge"/>
          <c:x val="0.89180834621329264"/>
          <c:y val="0.29223888109876744"/>
          <c:w val="9.0888128937514953E-2"/>
          <c:h val="0.21068573688573841"/>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he-IL"/>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he-IL"/>
    </a:p>
  </c:txPr>
  <c:printSettings>
    <c:headerFooter alignWithMargins="0"/>
    <c:pageMargins b="1" l="0.75000000000000155" r="0.75000000000000155" t="1" header="0.5" footer="0.5"/>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he-IL">
                <a:effectLst/>
              </a:rPr>
              <a:t> </a:t>
            </a:r>
            <a:r>
              <a:rPr lang="he-IL" sz="1400" b="0" i="0" baseline="0">
                <a:effectLst/>
              </a:rPr>
              <a:t>כמות המשקעים החודשית בחלם בעשרת החודשים האחרונים</a:t>
            </a:r>
            <a:endParaRPr lang="he-IL" sz="1400" b="0" i="0" u="none" strike="noStrike" baseline="0">
              <a:solidFill>
                <a:sysClr val="windowText" lastClr="000000">
                  <a:lumMod val="65000"/>
                  <a:lumOff val="35000"/>
                </a:sysClr>
              </a:solidFill>
              <a:latin typeface="Calibri"/>
              <a:cs typeface="Arial" panose="020B0604020202020204" pitchFamily="34" charset="0"/>
            </a:endParaRPr>
          </a:p>
        </cx:rich>
      </cx:tx>
    </cx:title>
    <cx:plotArea>
      <cx:plotAreaRegion>
        <cx:series layoutId="clusteredColumn" uniqueId="{34545346-57B7-46A5-8F4E-20A53CA43DB3}" formatIdx="0">
          <cx:dataId val="0"/>
          <cx:layoutPr>
            <cx:aggregation/>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279400</xdr:colOff>
      <xdr:row>1</xdr:row>
      <xdr:rowOff>12700</xdr:rowOff>
    </xdr:from>
    <xdr:to>
      <xdr:col>21</xdr:col>
      <xdr:colOff>292100</xdr:colOff>
      <xdr:row>6</xdr:row>
      <xdr:rowOff>88900</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flipH="1">
          <a:off x="9974592700" y="203200"/>
          <a:ext cx="9156700" cy="1028700"/>
        </a:xfrm>
        <a:prstGeom prst="rect">
          <a:avLst/>
        </a:prstGeom>
        <a:solidFill>
          <a:srgbClr val="0000FF"/>
        </a:solidFill>
        <a:ln w="9525">
          <a:noFill/>
          <a:miter lim="800000"/>
          <a:headEnd/>
          <a:tailEnd/>
        </a:ln>
        <a:effectLst/>
        <a:scene3d>
          <a:camera prst="legacyPerspectiveBottomLeft"/>
          <a:lightRig rig="legacyFlat3" dir="t"/>
        </a:scene3d>
        <a:sp3d extrusionH="887400" prstMaterial="legacyMatte">
          <a:bevelT w="13500" h="13500" prst="angle"/>
          <a:bevelB w="13500" h="13500" prst="angle"/>
          <a:extrusionClr>
            <a:srgbClr val="0000FF"/>
          </a:extrusionClr>
        </a:sp3d>
      </xdr:spPr>
      <xdr:txBody>
        <a:bodyPr vertOverflow="clip" wrap="square" lIns="146304" tIns="187452" rIns="0" bIns="0" anchor="t" upright="1"/>
        <a:lstStyle/>
        <a:p>
          <a:pPr algn="ctr" rtl="0">
            <a:defRPr sz="1000"/>
          </a:pPr>
          <a:r>
            <a:rPr lang="en-US" sz="4000" b="0" i="0" u="none" strike="noStrike" baseline="0">
              <a:solidFill>
                <a:srgbClr val="FFFFFF"/>
              </a:solidFill>
              <a:latin typeface="Comic Sans MS"/>
            </a:rPr>
            <a:t>Excel    </a:t>
          </a:r>
          <a:endParaRPr lang="en-US" sz="4000" b="0" i="0" u="none" strike="noStrike" baseline="0">
            <a:solidFill>
              <a:srgbClr val="FFFFFF"/>
            </a:solidFill>
            <a:latin typeface="Arial"/>
            <a:cs typeface="Arial"/>
          </a:endParaRPr>
        </a:p>
        <a:p>
          <a:pPr algn="ctr" rtl="0">
            <a:defRPr sz="1000"/>
          </a:pPr>
          <a:endParaRPr lang="en-US" sz="4000" b="0" i="0" u="none" strike="noStrike" baseline="0">
            <a:solidFill>
              <a:srgbClr val="FFFFFF"/>
            </a:solidFill>
            <a:latin typeface="Arial"/>
            <a:cs typeface="Arial"/>
          </a:endParaRPr>
        </a:p>
      </xdr:txBody>
    </xdr:sp>
    <xdr:clientData/>
  </xdr:twoCellAnchor>
  <xdr:twoCellAnchor>
    <xdr:from>
      <xdr:col>3</xdr:col>
      <xdr:colOff>482603</xdr:colOff>
      <xdr:row>7</xdr:row>
      <xdr:rowOff>155574</xdr:rowOff>
    </xdr:from>
    <xdr:to>
      <xdr:col>21</xdr:col>
      <xdr:colOff>482602</xdr:colOff>
      <xdr:row>31</xdr:row>
      <xdr:rowOff>101600</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flipH="1">
          <a:off x="9974402198" y="1489074"/>
          <a:ext cx="10972799" cy="4518026"/>
        </a:xfrm>
        <a:prstGeom prst="rect">
          <a:avLst/>
        </a:prstGeom>
        <a:solidFill>
          <a:srgbClr val="FFFFFF"/>
        </a:solidFill>
        <a:ln w="9525">
          <a:solidFill>
            <a:srgbClr val="0000FF"/>
          </a:solidFill>
          <a:miter lim="800000"/>
          <a:headEnd/>
          <a:tailEnd/>
        </a:ln>
      </xdr:spPr>
      <xdr:txBody>
        <a:bodyPr vertOverflow="clip" wrap="square" lIns="0" tIns="22860" rIns="36576" bIns="0" anchor="t" upright="1"/>
        <a:lstStyle/>
        <a:p>
          <a:pPr algn="r" rtl="1">
            <a:defRPr sz="1000"/>
          </a:pPr>
          <a:r>
            <a:rPr lang="he-IL" sz="2000" b="0" i="0" u="none" strike="noStrike" baseline="0">
              <a:solidFill>
                <a:srgbClr val="0000FF"/>
              </a:solidFill>
              <a:latin typeface="Arial"/>
              <a:cs typeface="Arial"/>
            </a:rPr>
            <a:t>תרגיל</a:t>
          </a: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1.</a:t>
          </a:r>
          <a:r>
            <a:rPr lang="he-IL" sz="2000" b="0" i="0" u="none" strike="noStrike" baseline="0">
              <a:solidFill>
                <a:srgbClr val="000000"/>
              </a:solidFill>
              <a:latin typeface="Arial"/>
              <a:cs typeface="Arial"/>
            </a:rPr>
            <a:t> הקלידו את שמכם בתא </a:t>
          </a:r>
          <a:r>
            <a:rPr lang="en-US" sz="2000" b="0" i="0" u="none" strike="noStrike" baseline="0">
              <a:solidFill>
                <a:srgbClr val="000000"/>
              </a:solidFill>
              <a:latin typeface="Arial"/>
              <a:cs typeface="Arial"/>
            </a:rPr>
            <a:t>C18 ,</a:t>
          </a:r>
          <a:r>
            <a:rPr lang="he-IL" sz="2000" b="0" i="0" u="none" strike="noStrike" baseline="0">
              <a:solidFill>
                <a:srgbClr val="000000"/>
              </a:solidFill>
              <a:latin typeface="Arial"/>
              <a:cs typeface="Arial"/>
            </a:rPr>
            <a:t> השתמשו בלחצני הזנה וביטול לאחר כתיבת שמכם (הלחצנים נמצאים משמאל לשורת הנוסחאות בצורת וי ואיקס), כאשר בכל פעם תמחקו את שמכם בעזרת כפתור </a:t>
          </a:r>
          <a:r>
            <a:rPr lang="en-US" sz="2000" b="0" i="0" u="none" strike="noStrike" baseline="0">
              <a:solidFill>
                <a:srgbClr val="000000"/>
              </a:solidFill>
              <a:latin typeface="Arial"/>
              <a:cs typeface="Arial"/>
            </a:rPr>
            <a:t>delete. </a:t>
          </a:r>
          <a:r>
            <a:rPr lang="he-IL" sz="2000" b="0" i="0" u="none" strike="noStrike" baseline="0">
              <a:solidFill>
                <a:srgbClr val="000000"/>
              </a:solidFill>
              <a:latin typeface="Arial"/>
              <a:cs typeface="Arial"/>
            </a:rPr>
            <a:t>בפעם השלישית לחצו </a:t>
          </a:r>
          <a:r>
            <a:rPr lang="en-US" sz="2000" b="0" i="0" u="none" strike="noStrike" baseline="0">
              <a:solidFill>
                <a:srgbClr val="000000"/>
              </a:solidFill>
              <a:latin typeface="Arial"/>
              <a:cs typeface="Arial"/>
            </a:rPr>
            <a:t>ENTER </a:t>
          </a:r>
          <a:r>
            <a:rPr lang="he-IL" sz="2000" b="0" i="0" u="none" strike="noStrike" baseline="0">
              <a:solidFill>
                <a:srgbClr val="000000"/>
              </a:solidFill>
              <a:latin typeface="Arial"/>
              <a:cs typeface="Arial"/>
            </a:rPr>
            <a:t>וסמן התא ירד תא אחד למטה. שימו לב כי ניתן להזין תא ולערוך את תוכנו בשורת העריכה.</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2.</a:t>
          </a:r>
          <a:r>
            <a:rPr lang="he-IL" sz="2000" b="0" i="0" u="none" strike="noStrike" baseline="0">
              <a:solidFill>
                <a:srgbClr val="000000"/>
              </a:solidFill>
              <a:latin typeface="Arial"/>
              <a:cs typeface="Arial"/>
            </a:rPr>
            <a:t> התנועה בגיליון מתבצעת בעזרת החיצים והעכבר. ניתן להיעזר בלחצנים: </a:t>
          </a:r>
          <a:r>
            <a:rPr lang="en-US" sz="2000" b="0" i="0" u="none" strike="noStrike" baseline="0">
              <a:solidFill>
                <a:srgbClr val="000000"/>
              </a:solidFill>
              <a:latin typeface="Arial"/>
              <a:cs typeface="Arial"/>
            </a:rPr>
            <a:t>TAB, END,HOME,CTRL+HOME ,PgUp,PgDn,CTRL+END,CTRL+PgDn/PgDn</a:t>
          </a:r>
          <a:endParaRPr lang="he-IL" sz="2000" b="0" i="0" u="none" strike="noStrike" baseline="0">
            <a:solidFill>
              <a:srgbClr val="000000"/>
            </a:solidFill>
            <a:latin typeface="Arial"/>
            <a:cs typeface="Arial"/>
          </a:endParaRPr>
        </a:p>
        <a:p>
          <a:pPr algn="r" rtl="1">
            <a:defRPr sz="1000"/>
          </a:pPr>
          <a:endParaRPr lang="en-US" sz="2000" b="0" i="0" u="none" strike="noStrike" baseline="0">
            <a:solidFill>
              <a:srgbClr val="000000"/>
            </a:solidFill>
            <a:latin typeface="Arial"/>
            <a:cs typeface="Arial"/>
          </a:endParaRPr>
        </a:p>
        <a:p>
          <a:pPr algn="r" rtl="1">
            <a:defRPr sz="1000"/>
          </a:pPr>
          <a:r>
            <a:rPr lang="he-IL" sz="2000" b="0" i="0" u="none" strike="noStrike" baseline="0">
              <a:solidFill>
                <a:srgbClr val="0070C0"/>
              </a:solidFill>
              <a:latin typeface="Arial"/>
              <a:cs typeface="Arial"/>
            </a:rPr>
            <a:t>3</a:t>
          </a:r>
          <a:r>
            <a:rPr lang="he-IL" sz="2000" b="0" i="0" u="none" strike="noStrike" baseline="0">
              <a:solidFill>
                <a:srgbClr val="000000"/>
              </a:solidFill>
              <a:latin typeface="Arial"/>
              <a:cs typeface="Arial"/>
            </a:rPr>
            <a:t>. הפכו את כיוון הגליון לימין - שמאל בעזרת הלחצן בסרגל ה "</a:t>
          </a:r>
          <a:r>
            <a:rPr lang="en-US" sz="2000" b="0" i="0" u="none" strike="noStrike" baseline="0">
              <a:solidFill>
                <a:srgbClr val="000000"/>
              </a:solidFill>
              <a:latin typeface="Arial"/>
              <a:cs typeface="Arial"/>
            </a:rPr>
            <a:t>page layout</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4.</a:t>
          </a:r>
          <a:r>
            <a:rPr lang="he-IL" sz="2000" b="0" i="0" u="none" strike="noStrike" baseline="0">
              <a:solidFill>
                <a:srgbClr val="000000"/>
              </a:solidFill>
              <a:latin typeface="Arial"/>
              <a:cs typeface="Arial"/>
            </a:rPr>
            <a:t> שנו את שם הגליון ל"הקדמה" ע"י תפריט קיצור שנוצר כאשר לוחצים קליק ימני על שם הגיליון.</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5.</a:t>
          </a:r>
          <a:r>
            <a:rPr lang="he-IL" sz="2000" b="0" i="0" u="none" strike="noStrike" baseline="0">
              <a:solidFill>
                <a:srgbClr val="000000"/>
              </a:solidFill>
              <a:latin typeface="Arial"/>
              <a:cs typeface="Arial"/>
            </a:rPr>
            <a:t> מחקו את תיבת הטקסט "כיתות תרגול…" וצרו במקומה תיבת טקסט המכילה את שמכם</a:t>
          </a:r>
          <a:r>
            <a:rPr lang="en-US" sz="2000" b="0" i="0" u="none" strike="noStrike" baseline="0">
              <a:solidFill>
                <a:srgbClr val="000000"/>
              </a:solidFill>
              <a:latin typeface="Arial"/>
              <a:cs typeface="Arial"/>
            </a:rPr>
            <a:t> </a:t>
          </a:r>
          <a:r>
            <a:rPr lang="he-IL" sz="2000" b="0" i="0" u="none" strike="noStrike" baseline="0">
              <a:solidFill>
                <a:srgbClr val="000000"/>
              </a:solidFill>
              <a:latin typeface="Arial"/>
              <a:cs typeface="Arial"/>
            </a:rPr>
            <a:t>בעזרת תפריט "</a:t>
          </a:r>
          <a:r>
            <a:rPr lang="en-US" sz="2000" b="0" i="0" u="none" strike="noStrike" baseline="0">
              <a:solidFill>
                <a:srgbClr val="000000"/>
              </a:solidFill>
              <a:latin typeface="Arial"/>
              <a:cs typeface="Arial"/>
            </a:rPr>
            <a:t>insert</a:t>
          </a:r>
          <a:r>
            <a:rPr lang="he-IL" sz="2000" b="0" i="0" u="none" strike="noStrike" baseline="0">
              <a:solidFill>
                <a:srgbClr val="000000"/>
              </a:solidFill>
              <a:latin typeface="Arial"/>
              <a:cs typeface="Arial"/>
            </a:rPr>
            <a:t>" וכפתור </a:t>
          </a:r>
          <a:r>
            <a:rPr lang="en-US" sz="2000" b="0" i="0" u="none" strike="noStrike" baseline="0">
              <a:solidFill>
                <a:srgbClr val="000000"/>
              </a:solidFill>
              <a:latin typeface="Arial"/>
              <a:cs typeface="Arial"/>
            </a:rPr>
            <a:t>"text box"</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endParaRPr lang="he-IL" sz="2000" b="0" i="0" u="none" strike="noStrike" baseline="0">
            <a:solidFill>
              <a:srgbClr val="000000"/>
            </a:solidFill>
            <a:latin typeface="Arial"/>
            <a:cs typeface="Arial"/>
          </a:endParaRPr>
        </a:p>
      </xdr:txBody>
    </xdr:sp>
    <xdr:clientData/>
  </xdr:twoCellAnchor>
  <xdr:twoCellAnchor>
    <xdr:from>
      <xdr:col>1</xdr:col>
      <xdr:colOff>15876</xdr:colOff>
      <xdr:row>1</xdr:row>
      <xdr:rowOff>12700</xdr:rowOff>
    </xdr:from>
    <xdr:to>
      <xdr:col>6</xdr:col>
      <xdr:colOff>12701</xdr:colOff>
      <xdr:row>3</xdr:row>
      <xdr:rowOff>12700</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flipH="1">
          <a:off x="9984016099" y="203200"/>
          <a:ext cx="3044825" cy="381000"/>
        </a:xfrm>
        <a:prstGeom prst="rect">
          <a:avLst/>
        </a:prstGeom>
        <a:solidFill>
          <a:srgbClr val="FFFFFF"/>
        </a:solidFill>
        <a:ln w="9525">
          <a:solidFill>
            <a:srgbClr val="000000"/>
          </a:solidFill>
          <a:miter lim="800000"/>
          <a:headEnd/>
          <a:tailEnd/>
        </a:ln>
      </xdr:spPr>
      <xdr:txBody>
        <a:bodyPr vertOverflow="clip" wrap="square" lIns="36576" tIns="27432" rIns="36576" bIns="0" anchor="t" upright="1"/>
        <a:lstStyle/>
        <a:p>
          <a:pPr algn="r" rtl="1">
            <a:defRPr sz="1000"/>
          </a:pPr>
          <a:r>
            <a:rPr lang="he-IL" sz="1400" b="0" i="0" u="none" strike="noStrike" baseline="0">
              <a:solidFill>
                <a:srgbClr val="000000"/>
              </a:solidFill>
              <a:latin typeface="Arial"/>
              <a:cs typeface="Arial"/>
            </a:rPr>
            <a:t>עותק זה שייך ל:</a:t>
          </a:r>
        </a:p>
        <a:p>
          <a:pPr algn="ctr" rtl="1">
            <a:defRPr sz="1000"/>
          </a:pPr>
          <a:endParaRPr lang="he-IL" sz="14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571500</xdr:colOff>
      <xdr:row>1</xdr:row>
      <xdr:rowOff>66675</xdr:rowOff>
    </xdr:from>
    <xdr:to>
      <xdr:col>6</xdr:col>
      <xdr:colOff>19050</xdr:colOff>
      <xdr:row>3</xdr:row>
      <xdr:rowOff>133350</xdr:rowOff>
    </xdr:to>
    <xdr:sp macro="" textlink="">
      <xdr:nvSpPr>
        <xdr:cNvPr id="5121" name="Text Box 1">
          <a:extLst>
            <a:ext uri="{FF2B5EF4-FFF2-40B4-BE49-F238E27FC236}">
              <a16:creationId xmlns:a16="http://schemas.microsoft.com/office/drawing/2014/main" id="{00000000-0008-0000-0100-000001140000}"/>
            </a:ext>
          </a:extLst>
        </xdr:cNvPr>
        <xdr:cNvSpPr txBox="1">
          <a:spLocks noChangeArrowheads="1"/>
        </xdr:cNvSpPr>
      </xdr:nvSpPr>
      <xdr:spPr bwMode="auto">
        <a:xfrm flipH="1">
          <a:off x="9984152625" y="228600"/>
          <a:ext cx="3095625" cy="390525"/>
        </a:xfrm>
        <a:prstGeom prst="rect">
          <a:avLst/>
        </a:prstGeom>
        <a:solidFill>
          <a:srgbClr val="FFFFFF"/>
        </a:solidFill>
        <a:ln w="9525">
          <a:solidFill>
            <a:srgbClr val="000000"/>
          </a:solidFill>
          <a:miter lim="800000"/>
          <a:headEnd/>
          <a:tailEnd/>
        </a:ln>
      </xdr:spPr>
      <xdr:txBody>
        <a:bodyPr vertOverflow="clip" wrap="square" lIns="45720" tIns="36576" rIns="45720" bIns="0" anchor="t" upright="1"/>
        <a:lstStyle/>
        <a:p>
          <a:pPr algn="ctr" rtl="1">
            <a:defRPr sz="1000"/>
          </a:pPr>
          <a:r>
            <a:rPr lang="he-IL" sz="2200" b="0" i="0" u="none" strike="noStrike" baseline="0">
              <a:solidFill>
                <a:srgbClr val="000000"/>
              </a:solidFill>
              <a:latin typeface="Arial"/>
              <a:cs typeface="Arial"/>
            </a:rPr>
            <a:t>נוסחאות</a:t>
          </a:r>
        </a:p>
        <a:p>
          <a:pPr algn="ctr" rtl="1">
            <a:defRPr sz="1000"/>
          </a:pPr>
          <a:endParaRPr lang="he-IL" sz="2200" b="0" i="0" u="none" strike="noStrike" baseline="0">
            <a:solidFill>
              <a:srgbClr val="000000"/>
            </a:solidFill>
            <a:latin typeface="Arial"/>
            <a:cs typeface="Arial"/>
          </a:endParaRPr>
        </a:p>
      </xdr:txBody>
    </xdr:sp>
    <xdr:clientData/>
  </xdr:twoCellAnchor>
  <xdr:twoCellAnchor>
    <xdr:from>
      <xdr:col>1</xdr:col>
      <xdr:colOff>257175</xdr:colOff>
      <xdr:row>10</xdr:row>
      <xdr:rowOff>76200</xdr:rowOff>
    </xdr:from>
    <xdr:to>
      <xdr:col>4</xdr:col>
      <xdr:colOff>476250</xdr:colOff>
      <xdr:row>19</xdr:row>
      <xdr:rowOff>142875</xdr:rowOff>
    </xdr:to>
    <xdr:sp macro="" textlink="">
      <xdr:nvSpPr>
        <xdr:cNvPr id="5122" name="Text Box 2">
          <a:extLst>
            <a:ext uri="{FF2B5EF4-FFF2-40B4-BE49-F238E27FC236}">
              <a16:creationId xmlns:a16="http://schemas.microsoft.com/office/drawing/2014/main" id="{00000000-0008-0000-0100-000002140000}"/>
            </a:ext>
          </a:extLst>
        </xdr:cNvPr>
        <xdr:cNvSpPr txBox="1">
          <a:spLocks noChangeArrowheads="1"/>
        </xdr:cNvSpPr>
      </xdr:nvSpPr>
      <xdr:spPr bwMode="auto">
        <a:xfrm flipH="1">
          <a:off x="9985390875" y="1695450"/>
          <a:ext cx="3514725" cy="1524000"/>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פתרו את התרגילים שבטבלה מימין.</a:t>
          </a:r>
        </a:p>
        <a:p>
          <a:pPr algn="r" rtl="1">
            <a:defRPr sz="1000"/>
          </a:pPr>
          <a:r>
            <a:rPr lang="he-IL" sz="1200" b="0" i="0" u="none" strike="noStrike" baseline="0">
              <a:solidFill>
                <a:srgbClr val="000000"/>
              </a:solidFill>
              <a:latin typeface="Arial"/>
              <a:cs typeface="Arial"/>
            </a:rPr>
            <a:t>השתמשו בסימנים = + - * / ( ) ובכתובות התאים שבטבלה השמאלית בלבד !</a:t>
          </a:r>
        </a:p>
        <a:p>
          <a:pPr algn="r" rtl="1">
            <a:defRPr sz="1000"/>
          </a:pPr>
          <a:endParaRPr lang="he-IL" sz="1200" b="0" i="0" u="none" strike="noStrike" baseline="0">
            <a:solidFill>
              <a:srgbClr val="000000"/>
            </a:solidFill>
            <a:latin typeface="Arial"/>
            <a:cs typeface="Arial"/>
          </a:endParaRP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2</xdr:col>
      <xdr:colOff>968829</xdr:colOff>
      <xdr:row>17</xdr:row>
      <xdr:rowOff>10886</xdr:rowOff>
    </xdr:from>
    <xdr:to>
      <xdr:col>4</xdr:col>
      <xdr:colOff>519794</xdr:colOff>
      <xdr:row>26</xdr:row>
      <xdr:rowOff>153761</xdr:rowOff>
    </xdr:to>
    <xdr:sp macro="" textlink="">
      <xdr:nvSpPr>
        <xdr:cNvPr id="5123" name="Text Box 3">
          <a:extLst>
            <a:ext uri="{FF2B5EF4-FFF2-40B4-BE49-F238E27FC236}">
              <a16:creationId xmlns:a16="http://schemas.microsoft.com/office/drawing/2014/main" id="{00000000-0008-0000-0100-000003140000}"/>
            </a:ext>
          </a:extLst>
        </xdr:cNvPr>
        <xdr:cNvSpPr txBox="1">
          <a:spLocks noChangeArrowheads="1"/>
        </xdr:cNvSpPr>
      </xdr:nvSpPr>
      <xdr:spPr bwMode="auto">
        <a:xfrm flipH="1">
          <a:off x="9985332364" y="2808515"/>
          <a:ext cx="1504950" cy="1612446"/>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0" tIns="22860" rIns="36576" bIns="0" anchor="t" upright="1"/>
        <a:lstStyle/>
        <a:p>
          <a:pPr algn="r" rtl="0">
            <a:defRPr sz="1000"/>
          </a:pPr>
          <a:r>
            <a:rPr lang="he-IL" sz="1200" b="0" i="0" u="none" strike="noStrike" baseline="0">
              <a:solidFill>
                <a:schemeClr val="accent1"/>
              </a:solidFill>
              <a:latin typeface="Arial"/>
              <a:cs typeface="Arial"/>
            </a:rPr>
            <a:t>תא יכול להכיל נוסחה או  פונקציה. </a:t>
          </a:r>
          <a:r>
            <a:rPr lang="en-US" sz="1200" b="0" i="0" u="none" strike="noStrike" baseline="0">
              <a:solidFill>
                <a:schemeClr val="accent1"/>
              </a:solidFill>
              <a:latin typeface="Arial"/>
              <a:cs typeface="Arial"/>
            </a:rPr>
            <a:t>Excel </a:t>
          </a:r>
          <a:r>
            <a:rPr lang="he-IL" sz="1200" b="0" i="0" u="none" strike="noStrike" baseline="0">
              <a:solidFill>
                <a:schemeClr val="accent1"/>
              </a:solidFill>
              <a:latin typeface="Arial"/>
              <a:cs typeface="Arial"/>
            </a:rPr>
            <a:t>מזהה נוסחה או פונקציה ע"י סימן = בתחילתה. כאשר יש בתא נוסחה או פונקציה, אנו רואים בתא את התוצאה, ובשורת העריכה את הנוסחה.</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12</xdr:row>
      <xdr:rowOff>47625</xdr:rowOff>
    </xdr:from>
    <xdr:to>
      <xdr:col>12</xdr:col>
      <xdr:colOff>352425</xdr:colOff>
      <xdr:row>26</xdr:row>
      <xdr:rowOff>66675</xdr:rowOff>
    </xdr:to>
    <xdr:sp macro="" textlink="">
      <xdr:nvSpPr>
        <xdr:cNvPr id="6146" name="Text Box 2">
          <a:extLst>
            <a:ext uri="{FF2B5EF4-FFF2-40B4-BE49-F238E27FC236}">
              <a16:creationId xmlns:a16="http://schemas.microsoft.com/office/drawing/2014/main" id="{00000000-0008-0000-0200-000002180000}"/>
            </a:ext>
          </a:extLst>
        </xdr:cNvPr>
        <xdr:cNvSpPr txBox="1">
          <a:spLocks noChangeArrowheads="1"/>
        </xdr:cNvSpPr>
      </xdr:nvSpPr>
      <xdr:spPr bwMode="auto">
        <a:xfrm>
          <a:off x="143541750" y="2752725"/>
          <a:ext cx="7772400" cy="2686050"/>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1. מלאו את עמודת "בכמה תרגילים ציון עובר" בעזרת פונקציה </a:t>
          </a:r>
          <a:r>
            <a:rPr lang="en-US" sz="1200" b="0" i="0" u="none" strike="noStrike" baseline="0">
              <a:solidFill>
                <a:srgbClr val="000000"/>
              </a:solidFill>
              <a:latin typeface="Arial"/>
              <a:cs typeface="Arial"/>
            </a:rPr>
            <a:t>COUNTIF</a:t>
          </a:r>
          <a:r>
            <a:rPr lang="he-IL" sz="1200" b="0" i="0" u="none" strike="noStrike" baseline="0">
              <a:solidFill>
                <a:srgbClr val="000000"/>
              </a:solidFill>
              <a:latin typeface="Arial"/>
              <a:cs typeface="Arial"/>
            </a:rPr>
            <a:t> (נמצא ב-</a:t>
          </a:r>
          <a:r>
            <a:rPr lang="en-US" sz="1200" b="0" i="0" u="none" strike="noStrike" baseline="0">
              <a:solidFill>
                <a:srgbClr val="000000"/>
              </a:solidFill>
              <a:latin typeface="Arial"/>
              <a:cs typeface="Arial"/>
            </a:rPr>
            <a:t>formulas</a:t>
          </a:r>
          <a:r>
            <a:rPr lang="he-IL" sz="1200" b="0" i="0" u="none" strike="noStrike" baseline="0">
              <a:solidFill>
                <a:srgbClr val="000000"/>
              </a:solidFill>
              <a:latin typeface="Arial"/>
              <a:cs typeface="Arial"/>
            </a:rPr>
            <a:t>&gt;</a:t>
          </a:r>
          <a:r>
            <a:rPr lang="en-US" sz="1200" b="0" i="0" u="none" strike="noStrike" baseline="0">
              <a:solidFill>
                <a:srgbClr val="000000"/>
              </a:solidFill>
              <a:latin typeface="Arial"/>
              <a:cs typeface="Arial"/>
            </a:rPr>
            <a:t>insert function</a:t>
          </a:r>
          <a:r>
            <a:rPr lang="he-IL" sz="1200" b="0" i="0" u="none" strike="noStrike" baseline="0">
              <a:solidFill>
                <a:srgbClr val="000000"/>
              </a:solidFill>
              <a:latin typeface="Arial"/>
              <a:cs typeface="Arial"/>
            </a:rPr>
            <a:t>) ספרו לכל סטודנט את מספר התרגילים בהם קיבל ציון הגבוה מ-55.</a:t>
          </a:r>
        </a:p>
        <a:p>
          <a:pPr algn="r" rtl="1">
            <a:defRPr sz="1000"/>
          </a:pPr>
          <a:r>
            <a:rPr lang="he-IL" sz="1200" b="0" i="0" u="none" strike="noStrike" baseline="0">
              <a:solidFill>
                <a:srgbClr val="000000"/>
              </a:solidFill>
              <a:latin typeface="Arial"/>
              <a:cs typeface="Arial"/>
            </a:rPr>
            <a:t>2. הציון הסופי יהיה ממוצע של ארבעת התרגילים והמבחן, כאשר ציון קטן מ-55 לא נכנס לממוצע (השתמשו בפונקציה </a:t>
          </a:r>
          <a:r>
            <a:rPr lang="en-US" sz="1200" b="0" i="0" u="none" strike="noStrike" baseline="0">
              <a:solidFill>
                <a:srgbClr val="000000"/>
              </a:solidFill>
              <a:latin typeface="Arial"/>
              <a:cs typeface="Arial"/>
            </a:rPr>
            <a:t>SUMIF</a:t>
          </a:r>
          <a:r>
            <a:rPr lang="he-IL" sz="1200" b="0" i="0" u="none" strike="noStrike" baseline="0">
              <a:solidFill>
                <a:srgbClr val="000000"/>
              </a:solidFill>
              <a:latin typeface="Arial"/>
              <a:cs typeface="Arial"/>
            </a:rPr>
            <a:t> וחלקו במס' שעברו). </a:t>
          </a:r>
        </a:p>
        <a:p>
          <a:pPr algn="r" rtl="1">
            <a:defRPr sz="1000"/>
          </a:pPr>
          <a:r>
            <a:rPr lang="he-IL" sz="1200" b="0" i="0" u="none" strike="noStrike" baseline="0">
              <a:solidFill>
                <a:srgbClr val="000000"/>
              </a:solidFill>
              <a:latin typeface="Arial"/>
              <a:cs typeface="Arial"/>
            </a:rPr>
            <a:t>3. מלאו את הממוצע עבור כל אחד מהנושאים בטבלת המשקלים בתחתית הגיליון.</a:t>
          </a:r>
        </a:p>
        <a:p>
          <a:pPr algn="r" rtl="1">
            <a:defRPr sz="1000"/>
          </a:pPr>
          <a:r>
            <a:rPr lang="he-IL" sz="1200" b="0" i="0" u="none" strike="noStrike" baseline="0">
              <a:solidFill>
                <a:srgbClr val="000000"/>
              </a:solidFill>
              <a:latin typeface="Arial"/>
              <a:cs typeface="Arial"/>
            </a:rPr>
            <a:t>4. בעזרת הפונקציה</a:t>
          </a:r>
          <a:r>
            <a:rPr lang="en-US" sz="1200" b="0" i="0" u="none" strike="noStrike" baseline="0">
              <a:solidFill>
                <a:srgbClr val="000000"/>
              </a:solidFill>
              <a:latin typeface="Arial"/>
              <a:cs typeface="Arial"/>
            </a:rPr>
            <a:t>if </a:t>
          </a:r>
          <a:r>
            <a:rPr lang="he-IL" sz="1200" b="0" i="0" u="none" strike="noStrike" baseline="0">
              <a:solidFill>
                <a:srgbClr val="000000"/>
              </a:solidFill>
              <a:latin typeface="Arial"/>
              <a:cs typeface="Arial"/>
            </a:rPr>
            <a:t> באשף הפונקציות, מלאו את העמודה "מעמד" כך שאם הציון הסופי הוא 65 ומעלה יהיה רשום "עבר", אם הוא 90 ומעלה יהיה רשום "מצטיין", אחרת יהיה רשום "נכשל".</a:t>
          </a:r>
        </a:p>
        <a:p>
          <a:pPr algn="r" rtl="1">
            <a:defRPr sz="1000"/>
          </a:pPr>
          <a:r>
            <a:rPr lang="he-IL" sz="1200" b="0" i="0" u="none" strike="noStrike" baseline="0">
              <a:solidFill>
                <a:srgbClr val="000000"/>
              </a:solidFill>
              <a:latin typeface="Arial"/>
              <a:cs typeface="Arial"/>
            </a:rPr>
            <a:t>5. מלאו את העמודה "נדרש לחזור על הקורס?" כך שאם המעמד של הסטודנט הוא "עבר" או "מצטיין" יהיה רשום "לא" ואם נכשל יהיה רשום "כן" (השתמשו בפונקציה </a:t>
          </a:r>
          <a:r>
            <a:rPr lang="en-US" sz="1200" b="0" i="0" u="none" strike="noStrike" baseline="0">
              <a:solidFill>
                <a:srgbClr val="000000"/>
              </a:solidFill>
              <a:latin typeface="Arial"/>
              <a:cs typeface="Arial"/>
            </a:rPr>
            <a:t>OR</a:t>
          </a:r>
          <a:r>
            <a:rPr lang="he-IL" sz="1200" b="0" i="0" u="none" strike="noStrike" baseline="0">
              <a:solidFill>
                <a:srgbClr val="000000"/>
              </a:solidFill>
              <a:latin typeface="Arial"/>
              <a:cs typeface="Arial"/>
            </a:rPr>
            <a:t> בתוך פונקציית ה-</a:t>
          </a:r>
          <a:r>
            <a:rPr lang="en-US" sz="1200" b="0" i="0" u="none" strike="noStrike" baseline="0">
              <a:solidFill>
                <a:srgbClr val="000000"/>
              </a:solidFill>
              <a:latin typeface="Arial"/>
              <a:cs typeface="Arial"/>
            </a:rPr>
            <a:t>If</a:t>
          </a:r>
          <a:r>
            <a:rPr lang="he-IL" sz="1200" b="0" i="0" u="none" strike="noStrike" baseline="0">
              <a:solidFill>
                <a:srgbClr val="000000"/>
              </a:solidFill>
              <a:latin typeface="Arial"/>
              <a:cs typeface="Arial"/>
            </a:rPr>
            <a:t>). </a:t>
          </a:r>
        </a:p>
        <a:p>
          <a:pPr algn="r" rtl="1">
            <a:defRPr sz="1000"/>
          </a:pPr>
          <a:r>
            <a:rPr lang="he-IL" sz="1200" b="0" i="0" u="none" strike="noStrike" baseline="0">
              <a:solidFill>
                <a:srgbClr val="000000"/>
              </a:solidFill>
              <a:latin typeface="Arial"/>
              <a:cs typeface="Arial"/>
            </a:rPr>
            <a:t>6.</a:t>
          </a:r>
          <a:r>
            <a:rPr lang="en-US" sz="1200" b="0" i="0" u="none" strike="noStrike" baseline="0">
              <a:solidFill>
                <a:srgbClr val="000000"/>
              </a:solidFill>
              <a:latin typeface="Arial"/>
              <a:cs typeface="Arial"/>
            </a:rPr>
            <a:t> </a:t>
          </a:r>
          <a:r>
            <a:rPr lang="he-IL" sz="1200" b="0" i="0" u="none" strike="noStrike" baseline="0">
              <a:solidFill>
                <a:srgbClr val="000000"/>
              </a:solidFill>
              <a:latin typeface="Arial"/>
              <a:cs typeface="Arial"/>
            </a:rPr>
            <a:t>בעמודה "ציון משוקלל" מלאו את הציון המשוקלל לפי טבלת המשקלים בתחתית הגיליון.</a:t>
          </a:r>
        </a:p>
        <a:p>
          <a:pPr algn="r" rtl="1">
            <a:defRPr sz="1000"/>
          </a:pPr>
          <a:r>
            <a:rPr lang="he-IL" sz="1200" b="0" i="0" u="none" strike="noStrike" baseline="0">
              <a:solidFill>
                <a:srgbClr val="000000"/>
              </a:solidFill>
              <a:latin typeface="Arial"/>
              <a:cs typeface="Arial"/>
            </a:rPr>
            <a:t>7. מלאו את הטבלה שלמטה תוך שימוש בנוסחאות ובפונקציה</a:t>
          </a:r>
          <a:r>
            <a:rPr lang="en-US" sz="1200" b="0" i="0" u="none" strike="noStrike" baseline="0">
              <a:solidFill>
                <a:srgbClr val="000000"/>
              </a:solidFill>
              <a:latin typeface="Arial"/>
              <a:cs typeface="Arial"/>
            </a:rPr>
            <a:t>countif </a:t>
          </a:r>
          <a:r>
            <a:rPr lang="he-IL" sz="1200" b="0" i="0" u="none" strike="noStrike" baseline="0">
              <a:solidFill>
                <a:srgbClr val="000000"/>
              </a:solidFill>
              <a:latin typeface="Arial"/>
              <a:cs typeface="Arial"/>
            </a:rPr>
            <a:t> מתוך אשף הפונקציות. בשורה הראשונה יהיו רשומים מספר הסטודנטים שעברו/הצטיינו, מספר הסטודנטים שנכשלו, ומספר הסטודנטים הכולל. בשורה השניה יהיו רשומים אחוז הסטודנטים שעברו, אחוז הסטודנטים שנכשלו ואחוז כלל הסטודנטים (כלומר 100) - הכל בפורמט של אחוזים.</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857250</xdr:colOff>
      <xdr:row>2</xdr:row>
      <xdr:rowOff>0</xdr:rowOff>
    </xdr:from>
    <xdr:to>
      <xdr:col>9</xdr:col>
      <xdr:colOff>466725</xdr:colOff>
      <xdr:row>4</xdr:row>
      <xdr:rowOff>38100</xdr:rowOff>
    </xdr:to>
    <xdr:sp macro="" textlink="">
      <xdr:nvSpPr>
        <xdr:cNvPr id="17410" name="Text Box 2">
          <a:extLst>
            <a:ext uri="{FF2B5EF4-FFF2-40B4-BE49-F238E27FC236}">
              <a16:creationId xmlns:a16="http://schemas.microsoft.com/office/drawing/2014/main" id="{00000000-0008-0000-0300-000002440000}"/>
            </a:ext>
          </a:extLst>
        </xdr:cNvPr>
        <xdr:cNvSpPr txBox="1">
          <a:spLocks noChangeArrowheads="1"/>
        </xdr:cNvSpPr>
      </xdr:nvSpPr>
      <xdr:spPr bwMode="auto">
        <a:xfrm>
          <a:off x="150294975" y="2143125"/>
          <a:ext cx="4286250" cy="361950"/>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45720" tIns="41148" rIns="45720" bIns="0" anchor="t" upright="1"/>
        <a:lstStyle/>
        <a:p>
          <a:pPr algn="ctr" rtl="1">
            <a:defRPr sz="1000"/>
          </a:pPr>
          <a:r>
            <a:rPr lang="he-IL" sz="2000" b="1" i="0" u="none" strike="noStrike" baseline="0">
              <a:solidFill>
                <a:srgbClr val="000000"/>
              </a:solidFill>
              <a:latin typeface="Arial"/>
              <a:cs typeface="Arial"/>
            </a:rPr>
            <a:t>פונקציות שונות שכדאי לדעת עליהן</a:t>
          </a:r>
        </a:p>
      </xdr:txBody>
    </xdr:sp>
    <xdr:clientData/>
  </xdr:twoCellAnchor>
  <xdr:twoCellAnchor>
    <xdr:from>
      <xdr:col>1</xdr:col>
      <xdr:colOff>0</xdr:colOff>
      <xdr:row>4</xdr:row>
      <xdr:rowOff>152400</xdr:rowOff>
    </xdr:from>
    <xdr:to>
      <xdr:col>4</xdr:col>
      <xdr:colOff>133350</xdr:colOff>
      <xdr:row>6</xdr:row>
      <xdr:rowOff>57150</xdr:rowOff>
    </xdr:to>
    <xdr:sp macro="" textlink="">
      <xdr:nvSpPr>
        <xdr:cNvPr id="17411" name="WordArt 3">
          <a:extLst>
            <a:ext uri="{FF2B5EF4-FFF2-40B4-BE49-F238E27FC236}">
              <a16:creationId xmlns:a16="http://schemas.microsoft.com/office/drawing/2014/main" id="{00000000-0008-0000-0300-000003440000}"/>
            </a:ext>
          </a:extLst>
        </xdr:cNvPr>
        <xdr:cNvSpPr>
          <a:spLocks noChangeArrowheads="1" noChangeShapeType="1" noTextEdit="1"/>
        </xdr:cNvSpPr>
      </xdr:nvSpPr>
      <xdr:spPr bwMode="auto">
        <a:xfrm>
          <a:off x="153752550" y="2619375"/>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תאריך ושעה</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7</xdr:row>
      <xdr:rowOff>0</xdr:rowOff>
    </xdr:from>
    <xdr:to>
      <xdr:col>10</xdr:col>
      <xdr:colOff>304800</xdr:colOff>
      <xdr:row>11</xdr:row>
      <xdr:rowOff>0</xdr:rowOff>
    </xdr:to>
    <xdr:sp macro="" textlink="">
      <xdr:nvSpPr>
        <xdr:cNvPr id="17412" name="Text Box 4">
          <a:extLst>
            <a:ext uri="{FF2B5EF4-FFF2-40B4-BE49-F238E27FC236}">
              <a16:creationId xmlns:a16="http://schemas.microsoft.com/office/drawing/2014/main" id="{00000000-0008-0000-0300-000004440000}"/>
            </a:ext>
          </a:extLst>
        </xdr:cNvPr>
        <xdr:cNvSpPr txBox="1">
          <a:spLocks noChangeArrowheads="1"/>
        </xdr:cNvSpPr>
      </xdr:nvSpPr>
      <xdr:spPr bwMode="auto">
        <a:xfrm>
          <a:off x="149752050" y="295275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הפונקציות הנפוצות ביותר של תאריך ושעה הן: (</a:t>
          </a:r>
          <a:r>
            <a:rPr lang="en-US" sz="1000" b="0" i="0" u="none" strike="noStrike" baseline="0">
              <a:solidFill>
                <a:srgbClr val="000000"/>
              </a:solidFill>
              <a:latin typeface="Arial"/>
              <a:cs typeface="Arial"/>
            </a:rPr>
            <a:t>DATE(year,month,day</a:t>
          </a:r>
          <a:r>
            <a:rPr lang="he-IL" sz="1000" b="0" i="0" u="none" strike="noStrike" baseline="0">
              <a:solidFill>
                <a:srgbClr val="000000"/>
              </a:solidFill>
              <a:latin typeface="Arial"/>
              <a:cs typeface="Arial"/>
            </a:rPr>
            <a:t> אשר נותנת את התאריך המבוקש על פי הפרמטרים למשל (</a:t>
          </a:r>
          <a:r>
            <a:rPr lang="en-US" sz="1000" b="0" i="0" u="none" strike="noStrike" baseline="0">
              <a:solidFill>
                <a:srgbClr val="000000"/>
              </a:solidFill>
              <a:latin typeface="Arial"/>
              <a:cs typeface="Arial"/>
            </a:rPr>
            <a:t>DATE(97,9,3-26</a:t>
          </a:r>
          <a:r>
            <a:rPr lang="he-IL" sz="1000" b="0" i="0" u="none" strike="noStrike" baseline="0">
              <a:solidFill>
                <a:srgbClr val="000000"/>
              </a:solidFill>
              <a:latin typeface="Arial"/>
              <a:cs typeface="Arial"/>
            </a:rPr>
            <a:t> תיתן את התאריך של 26 יום לפני ה</a:t>
          </a:r>
          <a:r>
            <a:rPr lang="en-US" sz="1000" b="0" i="0" u="none" strike="noStrike" baseline="0">
              <a:solidFill>
                <a:srgbClr val="000000"/>
              </a:solidFill>
              <a:latin typeface="Arial"/>
              <a:cs typeface="Arial"/>
            </a:rPr>
            <a:t>-</a:t>
          </a:r>
          <a:r>
            <a:rPr lang="he-IL" sz="1000" b="0" i="0" u="none" strike="noStrike" baseline="0">
              <a:solidFill>
                <a:srgbClr val="000000"/>
              </a:solidFill>
              <a:latin typeface="Arial"/>
              <a:cs typeface="Arial"/>
            </a:rPr>
            <a:t> 3/9/97. הפונקציה (</a:t>
          </a:r>
          <a:r>
            <a:rPr lang="en-US" sz="1000" b="0" i="0" u="none" strike="noStrike" baseline="0">
              <a:solidFill>
                <a:srgbClr val="000000"/>
              </a:solidFill>
              <a:latin typeface="Arial"/>
              <a:cs typeface="Arial"/>
            </a:rPr>
            <a:t>TIME(hour,minute,second</a:t>
          </a:r>
          <a:r>
            <a:rPr lang="he-IL" sz="1000" b="0" i="0" u="none" strike="noStrike" baseline="0">
              <a:solidFill>
                <a:srgbClr val="000000"/>
              </a:solidFill>
              <a:latin typeface="Arial"/>
              <a:cs typeface="Arial"/>
            </a:rPr>
            <a:t> מבצעת אותו דבר לגבי השעה. הפונקציות () </a:t>
          </a:r>
          <a:r>
            <a:rPr lang="en-US" sz="1000" b="0" i="0" u="none" strike="noStrike" baseline="0">
              <a:solidFill>
                <a:srgbClr val="000000"/>
              </a:solidFill>
              <a:latin typeface="Arial"/>
              <a:cs typeface="Arial"/>
            </a:rPr>
            <a:t>NOW </a:t>
          </a:r>
          <a:r>
            <a:rPr lang="he-IL" sz="1000" b="0" i="0" u="none" strike="noStrike" baseline="0">
              <a:solidFill>
                <a:srgbClr val="000000"/>
              </a:solidFill>
              <a:latin typeface="Arial"/>
              <a:cs typeface="Arial"/>
            </a:rPr>
            <a:t> והפונקציה () </a:t>
          </a:r>
          <a:r>
            <a:rPr lang="en-US" sz="1000" b="0" i="0" u="none" strike="noStrike" baseline="0">
              <a:solidFill>
                <a:srgbClr val="000000"/>
              </a:solidFill>
              <a:latin typeface="Arial"/>
              <a:cs typeface="Arial"/>
            </a:rPr>
            <a:t>TODAY </a:t>
          </a:r>
          <a:r>
            <a:rPr lang="he-IL" sz="1000" b="0" i="0" u="none" strike="noStrike" baseline="0">
              <a:solidFill>
                <a:srgbClr val="000000"/>
              </a:solidFill>
              <a:latin typeface="Arial"/>
              <a:cs typeface="Arial"/>
            </a:rPr>
            <a:t> נותנות את התאריך והשעה הנוכחיים.</a:t>
          </a:r>
        </a:p>
      </xdr:txBody>
    </xdr:sp>
    <xdr:clientData/>
  </xdr:twoCellAnchor>
  <xdr:twoCellAnchor>
    <xdr:from>
      <xdr:col>1</xdr:col>
      <xdr:colOff>0</xdr:colOff>
      <xdr:row>11</xdr:row>
      <xdr:rowOff>133350</xdr:rowOff>
    </xdr:from>
    <xdr:to>
      <xdr:col>4</xdr:col>
      <xdr:colOff>133350</xdr:colOff>
      <xdr:row>13</xdr:row>
      <xdr:rowOff>38100</xdr:rowOff>
    </xdr:to>
    <xdr:sp macro="" textlink="">
      <xdr:nvSpPr>
        <xdr:cNvPr id="17413" name="WordArt 5">
          <a:extLst>
            <a:ext uri="{FF2B5EF4-FFF2-40B4-BE49-F238E27FC236}">
              <a16:creationId xmlns:a16="http://schemas.microsoft.com/office/drawing/2014/main" id="{00000000-0008-0000-0300-000005440000}"/>
            </a:ext>
          </a:extLst>
        </xdr:cNvPr>
        <xdr:cNvSpPr>
          <a:spLocks noChangeArrowheads="1" noChangeShapeType="1" noTextEdit="1"/>
        </xdr:cNvSpPr>
      </xdr:nvSpPr>
      <xdr:spPr bwMode="auto">
        <a:xfrm>
          <a:off x="153752550" y="3733800"/>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סטטיסטיות</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13</xdr:row>
      <xdr:rowOff>152400</xdr:rowOff>
    </xdr:from>
    <xdr:to>
      <xdr:col>10</xdr:col>
      <xdr:colOff>304800</xdr:colOff>
      <xdr:row>17</xdr:row>
      <xdr:rowOff>152400</xdr:rowOff>
    </xdr:to>
    <xdr:sp macro="" textlink="">
      <xdr:nvSpPr>
        <xdr:cNvPr id="17414" name="Text Box 6">
          <a:extLst>
            <a:ext uri="{FF2B5EF4-FFF2-40B4-BE49-F238E27FC236}">
              <a16:creationId xmlns:a16="http://schemas.microsoft.com/office/drawing/2014/main" id="{00000000-0008-0000-0300-000006440000}"/>
            </a:ext>
          </a:extLst>
        </xdr:cNvPr>
        <xdr:cNvSpPr txBox="1">
          <a:spLocks noChangeArrowheads="1"/>
        </xdr:cNvSpPr>
      </xdr:nvSpPr>
      <xdr:spPr bwMode="auto">
        <a:xfrm>
          <a:off x="149752050" y="407670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פונקציות סטטיסטיות שכיחות שלא הופיעו בדוגמא הן:</a:t>
          </a:r>
          <a:r>
            <a:rPr lang="en-US" sz="1000" b="0" i="0" u="none" strike="noStrike" baseline="0">
              <a:solidFill>
                <a:srgbClr val="000000"/>
              </a:solidFill>
              <a:latin typeface="Arial"/>
              <a:cs typeface="Arial"/>
            </a:rPr>
            <a:t>MEDIAN </a:t>
          </a:r>
          <a:r>
            <a:rPr lang="he-IL" sz="1000" b="0" i="0" u="none" strike="noStrike" baseline="0">
              <a:solidFill>
                <a:srgbClr val="000000"/>
              </a:solidFill>
              <a:latin typeface="Arial"/>
              <a:cs typeface="Arial"/>
            </a:rPr>
            <a:t> שמחשבת חציון,</a:t>
          </a:r>
          <a:r>
            <a:rPr lang="en-US" sz="1000" b="0" i="0" u="none" strike="noStrike" baseline="0">
              <a:solidFill>
                <a:srgbClr val="000000"/>
              </a:solidFill>
              <a:latin typeface="Arial"/>
              <a:cs typeface="Arial"/>
            </a:rPr>
            <a:t>MODE </a:t>
          </a:r>
          <a:r>
            <a:rPr lang="he-IL" sz="1000" b="0" i="0" u="none" strike="noStrike" baseline="0">
              <a:solidFill>
                <a:srgbClr val="000000"/>
              </a:solidFill>
              <a:latin typeface="Arial"/>
              <a:cs typeface="Arial"/>
            </a:rPr>
            <a:t> שמחשבת את הערך השכיח בסידרת מספרים, </a:t>
          </a:r>
          <a:r>
            <a:rPr lang="en-US" sz="1000" b="0" i="0" u="none" strike="noStrike" baseline="0">
              <a:solidFill>
                <a:srgbClr val="000000"/>
              </a:solidFill>
              <a:latin typeface="Arial"/>
              <a:cs typeface="Arial"/>
            </a:rPr>
            <a:t>MAX MIN </a:t>
          </a:r>
          <a:r>
            <a:rPr lang="he-IL" sz="1000" b="0" i="0" u="none" strike="noStrike" baseline="0">
              <a:solidFill>
                <a:srgbClr val="000000"/>
              </a:solidFill>
              <a:latin typeface="Arial"/>
              <a:cs typeface="Arial"/>
            </a:rPr>
            <a:t> הן שתי פונקציות שמחשבות מקסימום ומינימום בסידרת נתונים,</a:t>
          </a:r>
          <a:r>
            <a:rPr lang="en-US" sz="1000" b="0" i="0" u="none" strike="noStrike" baseline="0">
              <a:solidFill>
                <a:srgbClr val="000000"/>
              </a:solidFill>
              <a:latin typeface="Arial"/>
              <a:cs typeface="Arial"/>
            </a:rPr>
            <a:t>VAR </a:t>
          </a:r>
          <a:r>
            <a:rPr lang="he-IL" sz="1000" b="0" i="0" u="none" strike="noStrike" baseline="0">
              <a:solidFill>
                <a:srgbClr val="000000"/>
              </a:solidFill>
              <a:latin typeface="Arial"/>
              <a:cs typeface="Arial"/>
            </a:rPr>
            <a:t> ו-</a:t>
          </a:r>
          <a:r>
            <a:rPr lang="en-US" sz="1000" b="0" i="0" u="none" strike="noStrike" baseline="0">
              <a:solidFill>
                <a:srgbClr val="000000"/>
              </a:solidFill>
              <a:latin typeface="Arial"/>
              <a:cs typeface="Arial"/>
            </a:rPr>
            <a:t>STDEV </a:t>
          </a:r>
          <a:r>
            <a:rPr lang="he-IL" sz="1000" b="0" i="0" u="none" strike="noStrike" baseline="0">
              <a:solidFill>
                <a:srgbClr val="000000"/>
              </a:solidFill>
              <a:latin typeface="Arial"/>
              <a:cs typeface="Arial"/>
            </a:rPr>
            <a:t> נותנות שונות וסטיית תקן של סדרת מספרים. שימו לב כל הפונקציות מקבלות כפרמטר מערך של נתונים.</a:t>
          </a:r>
        </a:p>
      </xdr:txBody>
    </xdr:sp>
    <xdr:clientData/>
  </xdr:twoCellAnchor>
  <xdr:twoCellAnchor>
    <xdr:from>
      <xdr:col>1</xdr:col>
      <xdr:colOff>0</xdr:colOff>
      <xdr:row>19</xdr:row>
      <xdr:rowOff>0</xdr:rowOff>
    </xdr:from>
    <xdr:to>
      <xdr:col>5</xdr:col>
      <xdr:colOff>0</xdr:colOff>
      <xdr:row>21</xdr:row>
      <xdr:rowOff>104775</xdr:rowOff>
    </xdr:to>
    <xdr:sp macro="" textlink="">
      <xdr:nvSpPr>
        <xdr:cNvPr id="17415" name="Text Box 7">
          <a:extLst>
            <a:ext uri="{FF2B5EF4-FFF2-40B4-BE49-F238E27FC236}">
              <a16:creationId xmlns:a16="http://schemas.microsoft.com/office/drawing/2014/main" id="{00000000-0008-0000-0300-000007440000}"/>
            </a:ext>
          </a:extLst>
        </xdr:cNvPr>
        <xdr:cNvSpPr txBox="1">
          <a:spLocks noChangeArrowheads="1"/>
        </xdr:cNvSpPr>
      </xdr:nvSpPr>
      <xdr:spPr bwMode="auto">
        <a:xfrm>
          <a:off x="153200100" y="4905375"/>
          <a:ext cx="2847975" cy="428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חשבו את החציון, השכיח, המינימום, המקסימום, השונות וסטיית התקן של מערך הנתונים משמאל.</a:t>
          </a:r>
        </a:p>
      </xdr:txBody>
    </xdr:sp>
    <xdr:clientData/>
  </xdr:twoCellAnchor>
  <xdr:twoCellAnchor>
    <xdr:from>
      <xdr:col>0</xdr:col>
      <xdr:colOff>600075</xdr:colOff>
      <xdr:row>26</xdr:row>
      <xdr:rowOff>9525</xdr:rowOff>
    </xdr:from>
    <xdr:to>
      <xdr:col>4</xdr:col>
      <xdr:colOff>123825</xdr:colOff>
      <xdr:row>27</xdr:row>
      <xdr:rowOff>76200</xdr:rowOff>
    </xdr:to>
    <xdr:sp macro="" textlink="">
      <xdr:nvSpPr>
        <xdr:cNvPr id="17416" name="WordArt 8">
          <a:extLst>
            <a:ext uri="{FF2B5EF4-FFF2-40B4-BE49-F238E27FC236}">
              <a16:creationId xmlns:a16="http://schemas.microsoft.com/office/drawing/2014/main" id="{00000000-0008-0000-0300-000008440000}"/>
            </a:ext>
          </a:extLst>
        </xdr:cNvPr>
        <xdr:cNvSpPr>
          <a:spLocks noChangeArrowheads="1" noChangeShapeType="1" noTextEdit="1"/>
        </xdr:cNvSpPr>
      </xdr:nvSpPr>
      <xdr:spPr bwMode="auto">
        <a:xfrm>
          <a:off x="153762075" y="6067425"/>
          <a:ext cx="2295525" cy="228600"/>
        </a:xfrm>
        <a:prstGeom prst="rect">
          <a:avLst/>
        </a:prstGeom>
      </xdr:spPr>
      <xdr:txBody>
        <a:bodyPr wrap="none" fromWordArt="1">
          <a:prstTxWarp prst="textPlain">
            <a:avLst>
              <a:gd name="adj" fmla="val 50000"/>
            </a:avLst>
          </a:prstTxWarp>
        </a:bodyPr>
        <a:lstStyle/>
        <a:p>
          <a:pPr algn="ctr" rtl="1"/>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editAs="oneCell">
    <xdr:from>
      <xdr:col>13</xdr:col>
      <xdr:colOff>247389</xdr:colOff>
      <xdr:row>6</xdr:row>
      <xdr:rowOff>142874</xdr:rowOff>
    </xdr:from>
    <xdr:to>
      <xdr:col>17</xdr:col>
      <xdr:colOff>179784</xdr:colOff>
      <xdr:row>15</xdr:row>
      <xdr:rowOff>80963</xdr:rowOff>
    </xdr:to>
    <xdr:pic>
      <xdr:nvPicPr>
        <xdr:cNvPr id="9" name="Picture 8" descr="Image result">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38169498" y="1119187"/>
          <a:ext cx="2361270" cy="139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564937</xdr:colOff>
      <xdr:row>16</xdr:row>
      <xdr:rowOff>35718</xdr:rowOff>
    </xdr:from>
    <xdr:to>
      <xdr:col>17</xdr:col>
      <xdr:colOff>69696</xdr:colOff>
      <xdr:row>25</xdr:row>
      <xdr:rowOff>1191</xdr:rowOff>
    </xdr:to>
    <xdr:pic>
      <xdr:nvPicPr>
        <xdr:cNvPr id="10" name="Picture 9" descr="Image result">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269554" y="2629449"/>
          <a:ext cx="1937297" cy="1438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3</xdr:row>
      <xdr:rowOff>9525</xdr:rowOff>
    </xdr:from>
    <xdr:to>
      <xdr:col>8</xdr:col>
      <xdr:colOff>495300</xdr:colOff>
      <xdr:row>9</xdr:row>
      <xdr:rowOff>114300</xdr:rowOff>
    </xdr:to>
    <xdr:sp macro="" textlink="">
      <xdr:nvSpPr>
        <xdr:cNvPr id="28673" name="Text Box 1">
          <a:extLst>
            <a:ext uri="{FF2B5EF4-FFF2-40B4-BE49-F238E27FC236}">
              <a16:creationId xmlns:a16="http://schemas.microsoft.com/office/drawing/2014/main" id="{00000000-0008-0000-0400-000001700000}"/>
            </a:ext>
          </a:extLst>
        </xdr:cNvPr>
        <xdr:cNvSpPr txBox="1">
          <a:spLocks noChangeArrowheads="1"/>
        </xdr:cNvSpPr>
      </xdr:nvSpPr>
      <xdr:spPr bwMode="auto">
        <a:xfrm>
          <a:off x="151295100" y="333375"/>
          <a:ext cx="4667250" cy="109537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0">
            <a:defRPr sz="1000"/>
          </a:pPr>
          <a:r>
            <a:rPr lang="en-US" sz="1400" b="0" i="0" u="none" strike="noStrike" baseline="0">
              <a:solidFill>
                <a:srgbClr val="800000"/>
              </a:solidFill>
              <a:latin typeface="Arial"/>
              <a:cs typeface="Arial"/>
            </a:rPr>
            <a:t>vlookup</a:t>
          </a:r>
        </a:p>
        <a:p>
          <a:pPr algn="r" rtl="0">
            <a:defRPr sz="1000"/>
          </a:pPr>
          <a:endParaRPr lang="en-US"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מטרת הפונקציה היא לקבל ערך של תא בטבלה, הנמצא באותה שורה של הערך עליו אנו </a:t>
          </a:r>
        </a:p>
        <a:p>
          <a:pPr algn="r" rtl="0">
            <a:defRPr sz="1000"/>
          </a:pPr>
          <a:r>
            <a:rPr lang="he-IL" sz="1000" b="0" i="0" u="none" strike="noStrike" baseline="0">
              <a:solidFill>
                <a:srgbClr val="000000"/>
              </a:solidFill>
              <a:latin typeface="Arial"/>
              <a:cs typeface="Arial"/>
            </a:rPr>
            <a:t>.עורכים חיפוש </a:t>
          </a:r>
        </a:p>
        <a:p>
          <a:pPr algn="r" rtl="0">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מבנה הפונקציה:</a:t>
          </a:r>
        </a:p>
        <a:p>
          <a:pPr algn="r" rtl="0">
            <a:defRPr sz="1000"/>
          </a:pPr>
          <a:endParaRPr lang="he-IL" sz="1000" b="0" i="0" u="none" strike="noStrike" baseline="0">
            <a:solidFill>
              <a:srgbClr val="000000"/>
            </a:solidFill>
            <a:latin typeface="Arial"/>
            <a:cs typeface="Arial"/>
          </a:endParaRPr>
        </a:p>
      </xdr:txBody>
    </xdr:sp>
    <xdr:clientData/>
  </xdr:twoCellAnchor>
  <xdr:twoCellAnchor editAs="oneCell">
    <xdr:from>
      <xdr:col>1</xdr:col>
      <xdr:colOff>76200</xdr:colOff>
      <xdr:row>9</xdr:row>
      <xdr:rowOff>142875</xdr:rowOff>
    </xdr:from>
    <xdr:to>
      <xdr:col>8</xdr:col>
      <xdr:colOff>495300</xdr:colOff>
      <xdr:row>13</xdr:row>
      <xdr:rowOff>114299</xdr:rowOff>
    </xdr:to>
    <xdr:pic>
      <xdr:nvPicPr>
        <xdr:cNvPr id="28677" name="Picture 2" descr="vlookup">
          <a:extLst>
            <a:ext uri="{FF2B5EF4-FFF2-40B4-BE49-F238E27FC236}">
              <a16:creationId xmlns:a16="http://schemas.microsoft.com/office/drawing/2014/main" id="{00000000-0008-0000-0400-0000057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200" y="1457325"/>
          <a:ext cx="4686300" cy="638175"/>
        </a:xfrm>
        <a:prstGeom prst="rect">
          <a:avLst/>
        </a:prstGeom>
        <a:noFill/>
        <a:ln w="9525">
          <a:noFill/>
          <a:miter lim="800000"/>
          <a:headEnd/>
          <a:tailEnd/>
        </a:ln>
      </xdr:spPr>
    </xdr:pic>
    <xdr:clientData/>
  </xdr:twoCellAnchor>
  <xdr:twoCellAnchor>
    <xdr:from>
      <xdr:col>1</xdr:col>
      <xdr:colOff>38100</xdr:colOff>
      <xdr:row>14</xdr:row>
      <xdr:rowOff>9525</xdr:rowOff>
    </xdr:from>
    <xdr:to>
      <xdr:col>8</xdr:col>
      <xdr:colOff>438150</xdr:colOff>
      <xdr:row>28</xdr:row>
      <xdr:rowOff>47625</xdr:rowOff>
    </xdr:to>
    <xdr:sp macro="" textlink="">
      <xdr:nvSpPr>
        <xdr:cNvPr id="28675" name="Text Box 3">
          <a:extLst>
            <a:ext uri="{FF2B5EF4-FFF2-40B4-BE49-F238E27FC236}">
              <a16:creationId xmlns:a16="http://schemas.microsoft.com/office/drawing/2014/main" id="{00000000-0008-0000-0400-000003700000}"/>
            </a:ext>
          </a:extLst>
        </xdr:cNvPr>
        <xdr:cNvSpPr txBox="1">
          <a:spLocks noChangeArrowheads="1"/>
        </xdr:cNvSpPr>
      </xdr:nvSpPr>
      <xdr:spPr bwMode="auto">
        <a:xfrm>
          <a:off x="151352250" y="2152650"/>
          <a:ext cx="4667250" cy="2333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משמעות הפרמטרים - </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lookup_value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הערך לפיו מחפשים בטבלה את התוצאה.</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Table_array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טווח הנתונים עליו מחפשים את התוצאה. חייב לכלול גם את הערך לחיפוש.</a:t>
          </a:r>
        </a:p>
        <a:p>
          <a:pPr algn="r" rtl="1">
            <a:defRPr sz="1000"/>
          </a:pPr>
          <a:endParaRPr lang="he-IL" sz="1000" b="0" i="0" u="none" strike="noStrike" baseline="0">
            <a:solidFill>
              <a:srgbClr val="000000"/>
            </a:solidFill>
            <a:latin typeface="Arial"/>
            <a:cs typeface="Arial"/>
          </a:endParaRPr>
        </a:p>
        <a:p>
          <a:pPr algn="r" rtl="1">
            <a:defRPr sz="1000"/>
          </a:pPr>
          <a:r>
            <a:rPr lang="en-US" sz="1000" b="0" i="0" u="none" strike="noStrike" baseline="0">
              <a:solidFill>
                <a:srgbClr val="000000"/>
              </a:solidFill>
              <a:latin typeface="Arial"/>
              <a:cs typeface="Arial"/>
            </a:rPr>
            <a:t>Col_index_num - </a:t>
          </a:r>
        </a:p>
        <a:p>
          <a:pPr algn="r" rtl="1">
            <a:defRPr sz="1000"/>
          </a:pPr>
          <a:r>
            <a:rPr lang="he-IL" sz="1000" b="0" i="0" u="none" strike="noStrike" baseline="0">
              <a:solidFill>
                <a:srgbClr val="000000"/>
              </a:solidFill>
              <a:latin typeface="Arial"/>
              <a:cs typeface="Arial"/>
            </a:rPr>
            <a:t>העמודה (יחסית לערך החיפוש) בה נמצאת התוצאה.</a:t>
          </a:r>
        </a:p>
        <a:p>
          <a:pPr algn="r" rtl="1">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a:t>
          </a:r>
          <a:r>
            <a:rPr lang="en-US" sz="1000" b="0" i="0" u="none" strike="noStrike" baseline="0">
              <a:solidFill>
                <a:srgbClr val="000000"/>
              </a:solidFill>
              <a:latin typeface="Arial"/>
              <a:cs typeface="Arial"/>
            </a:rPr>
            <a:t>range_lookup]</a:t>
          </a:r>
        </a:p>
        <a:p>
          <a:pPr algn="r" rtl="1">
            <a:defRPr sz="1000"/>
          </a:pPr>
          <a:r>
            <a:rPr lang="he-IL" sz="1000" b="0" i="0" u="none" strike="noStrike" baseline="0">
              <a:solidFill>
                <a:srgbClr val="000000"/>
              </a:solidFill>
              <a:latin typeface="Arial"/>
              <a:cs typeface="Arial"/>
            </a:rPr>
            <a:t>0 -</a:t>
          </a:r>
          <a:r>
            <a:rPr lang="en-US" sz="1000" b="0" i="0" u="none" strike="noStrike" baseline="0">
              <a:solidFill>
                <a:srgbClr val="000000"/>
              </a:solidFill>
              <a:latin typeface="Arial"/>
              <a:cs typeface="Arial"/>
            </a:rPr>
            <a:t> </a:t>
          </a:r>
          <a:r>
            <a:rPr lang="he-IL" sz="1000" b="0" i="0" u="none" strike="noStrike" baseline="0">
              <a:solidFill>
                <a:srgbClr val="000000"/>
              </a:solidFill>
              <a:latin typeface="Arial"/>
              <a:cs typeface="Arial"/>
            </a:rPr>
            <a:t>חפש את הערך המדוייק (עדיף לבחור באפשרות זו)</a:t>
          </a:r>
        </a:p>
        <a:p>
          <a:pPr algn="r" rtl="1">
            <a:defRPr sz="1000"/>
          </a:pPr>
          <a:r>
            <a:rPr lang="he-IL" sz="1000" b="0" i="0" u="none" strike="noStrike" baseline="0">
              <a:solidFill>
                <a:srgbClr val="000000"/>
              </a:solidFill>
              <a:latin typeface="Arial"/>
              <a:cs typeface="Arial"/>
            </a:rPr>
            <a:t>1 - אפשר חיפוש מקורב</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161925</xdr:colOff>
      <xdr:row>1</xdr:row>
      <xdr:rowOff>9525</xdr:rowOff>
    </xdr:from>
    <xdr:to>
      <xdr:col>8</xdr:col>
      <xdr:colOff>66675</xdr:colOff>
      <xdr:row>2</xdr:row>
      <xdr:rowOff>171450</xdr:rowOff>
    </xdr:to>
    <xdr:sp macro="" textlink="">
      <xdr:nvSpPr>
        <xdr:cNvPr id="7169" name="Text Box 1">
          <a:extLst>
            <a:ext uri="{FF2B5EF4-FFF2-40B4-BE49-F238E27FC236}">
              <a16:creationId xmlns:a16="http://schemas.microsoft.com/office/drawing/2014/main" id="{00000000-0008-0000-0500-0000011C0000}"/>
            </a:ext>
          </a:extLst>
        </xdr:cNvPr>
        <xdr:cNvSpPr txBox="1">
          <a:spLocks noChangeArrowheads="1"/>
        </xdr:cNvSpPr>
      </xdr:nvSpPr>
      <xdr:spPr bwMode="auto">
        <a:xfrm>
          <a:off x="146389725" y="200025"/>
          <a:ext cx="1828800" cy="352425"/>
        </a:xfrm>
        <a:prstGeom prst="rect">
          <a:avLst/>
        </a:prstGeom>
        <a:solidFill>
          <a:srgbClr val="FFFFFF"/>
        </a:solidFill>
        <a:ln w="9525">
          <a:miter lim="800000"/>
          <a:headEnd/>
          <a:tailEnd/>
        </a:ln>
        <a:effectLst/>
        <a:scene3d>
          <a:camera prst="legacyPerspectiveBottomLeft"/>
          <a:lightRig rig="legacyFlat3" dir="t"/>
        </a:scene3d>
        <a:sp3d extrusionH="887400" prstMaterial="legacyMatte">
          <a:bevelT w="13500" h="13500" prst="angle"/>
          <a:bevelB w="13500" h="13500" prst="angle"/>
          <a:extrusionClr>
            <a:srgbClr val="FFFFFF"/>
          </a:extrusionClr>
        </a:sp3d>
      </xdr:spPr>
      <xdr:txBody>
        <a:bodyPr vertOverflow="clip" wrap="square" lIns="45720" tIns="36576" rIns="45720" bIns="0" anchor="t" upright="1"/>
        <a:lstStyle/>
        <a:p>
          <a:pPr algn="ctr" rtl="1">
            <a:defRPr sz="1000"/>
          </a:pPr>
          <a:r>
            <a:rPr lang="he-IL" sz="2000" b="0" i="0" u="none" strike="noStrike" baseline="0">
              <a:solidFill>
                <a:srgbClr val="000000"/>
              </a:solidFill>
              <a:latin typeface="Arial"/>
              <a:cs typeface="Arial"/>
            </a:rPr>
            <a:t>תלוש משכורת</a:t>
          </a:r>
        </a:p>
        <a:p>
          <a:pPr algn="ctr" rtl="1">
            <a:defRPr sz="1000"/>
          </a:pPr>
          <a:endParaRPr lang="he-IL" sz="2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47625</xdr:colOff>
      <xdr:row>21</xdr:row>
      <xdr:rowOff>28574</xdr:rowOff>
    </xdr:from>
    <xdr:to>
      <xdr:col>7</xdr:col>
      <xdr:colOff>504825</xdr:colOff>
      <xdr:row>27</xdr:row>
      <xdr:rowOff>190499</xdr:rowOff>
    </xdr:to>
    <xdr:sp macro="" textlink="">
      <xdr:nvSpPr>
        <xdr:cNvPr id="7170" name="Text Box 2">
          <a:extLst>
            <a:ext uri="{FF2B5EF4-FFF2-40B4-BE49-F238E27FC236}">
              <a16:creationId xmlns:a16="http://schemas.microsoft.com/office/drawing/2014/main" id="{00000000-0008-0000-0500-0000021C0000}"/>
            </a:ext>
          </a:extLst>
        </xdr:cNvPr>
        <xdr:cNvSpPr txBox="1">
          <a:spLocks noChangeArrowheads="1"/>
        </xdr:cNvSpPr>
      </xdr:nvSpPr>
      <xdr:spPr bwMode="auto">
        <a:xfrm>
          <a:off x="9681690520" y="4219574"/>
          <a:ext cx="4661338" cy="1304925"/>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1. מלאו את עמודת הזיכויים וחשבו את סה"כ הזיכויים מתוך השכר ברוטו. בצעו זאת באופן דומה לעמודת הניכויים.</a:t>
          </a:r>
        </a:p>
        <a:p>
          <a:pPr algn="r" rtl="1">
            <a:defRPr sz="1000"/>
          </a:pPr>
          <a:r>
            <a:rPr lang="he-IL" sz="1200" b="0" i="0" u="none" strike="noStrike" baseline="0">
              <a:solidFill>
                <a:srgbClr val="000000"/>
              </a:solidFill>
              <a:latin typeface="Arial"/>
              <a:cs typeface="Arial"/>
            </a:rPr>
            <a:t>2. מתוך שכר הברוטו, הניכויים והזיכויים, מצאו את השכר נטו ורשמו אותו בתא </a:t>
          </a:r>
          <a:r>
            <a:rPr lang="en-US" sz="1200" b="0" i="0" u="none" strike="noStrike" baseline="0">
              <a:solidFill>
                <a:srgbClr val="000000"/>
              </a:solidFill>
              <a:latin typeface="Arial"/>
              <a:cs typeface="Arial"/>
            </a:rPr>
            <a:t>c18</a:t>
          </a:r>
          <a:r>
            <a:rPr lang="he-IL" sz="1200" b="0" i="0" u="none" strike="noStrike" baseline="0">
              <a:solidFill>
                <a:srgbClr val="000000"/>
              </a:solidFill>
              <a:latin typeface="Arial"/>
              <a:cs typeface="Arial"/>
            </a:rPr>
            <a:t> (שכר פלוס זיכויים פחות ניכויים).</a:t>
          </a:r>
        </a:p>
        <a:p>
          <a:pPr algn="r" rtl="1">
            <a:defRPr sz="1000"/>
          </a:pPr>
          <a:r>
            <a:rPr lang="he-IL" sz="1200" b="0" i="0" u="none" strike="noStrike" baseline="0">
              <a:solidFill>
                <a:srgbClr val="000000"/>
              </a:solidFill>
              <a:latin typeface="Arial"/>
              <a:cs typeface="Arial"/>
            </a:rPr>
            <a:t>3. שנו את המשכורת ברוטו ותוכלו לראות איך כל תלוש המשכורת משתנה בהתאם.</a:t>
          </a:r>
        </a:p>
        <a:p>
          <a:pPr algn="r" rtl="1">
            <a:defRPr sz="1000"/>
          </a:pPr>
          <a:endParaRPr lang="he-IL" sz="1200" b="0" i="0" u="none" strike="noStrike" baseline="0">
            <a:solidFill>
              <a:srgbClr val="000000"/>
            </a:solidFill>
            <a:latin typeface="Arial"/>
            <a:cs typeface="Arial"/>
          </a:endParaRPr>
        </a:p>
      </xdr:txBody>
    </xdr:sp>
    <xdr:clientData/>
  </xdr:twoCellAnchor>
  <xdr:twoCellAnchor editAs="oneCell">
    <xdr:from>
      <xdr:col>249</xdr:col>
      <xdr:colOff>238125</xdr:colOff>
      <xdr:row>0</xdr:row>
      <xdr:rowOff>0</xdr:rowOff>
    </xdr:from>
    <xdr:to>
      <xdr:col>255</xdr:col>
      <xdr:colOff>581025</xdr:colOff>
      <xdr:row>2</xdr:row>
      <xdr:rowOff>104775</xdr:rowOff>
    </xdr:to>
    <xdr:pic>
      <xdr:nvPicPr>
        <xdr:cNvPr id="7174" name="Picture 3">
          <a:extLst>
            <a:ext uri="{FF2B5EF4-FFF2-40B4-BE49-F238E27FC236}">
              <a16:creationId xmlns:a16="http://schemas.microsoft.com/office/drawing/2014/main" id="{00000000-0008-0000-0500-000006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8237575" y="0"/>
          <a:ext cx="3886200" cy="4857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333374</xdr:colOff>
      <xdr:row>14</xdr:row>
      <xdr:rowOff>154782</xdr:rowOff>
    </xdr:from>
    <xdr:to>
      <xdr:col>7</xdr:col>
      <xdr:colOff>595312</xdr:colOff>
      <xdr:row>30</xdr:row>
      <xdr:rowOff>190500</xdr:rowOff>
    </xdr:to>
    <xdr:sp macro="" textlink="">
      <xdr:nvSpPr>
        <xdr:cNvPr id="9222" name="Text Box 6">
          <a:extLst>
            <a:ext uri="{FF2B5EF4-FFF2-40B4-BE49-F238E27FC236}">
              <a16:creationId xmlns:a16="http://schemas.microsoft.com/office/drawing/2014/main" id="{00000000-0008-0000-0600-000006240000}"/>
            </a:ext>
          </a:extLst>
        </xdr:cNvPr>
        <xdr:cNvSpPr txBox="1">
          <a:spLocks noChangeArrowheads="1"/>
        </xdr:cNvSpPr>
      </xdr:nvSpPr>
      <xdr:spPr bwMode="auto">
        <a:xfrm>
          <a:off x="9967693542" y="2431489"/>
          <a:ext cx="4457584" cy="2637670"/>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1" i="0" u="none" strike="noStrike" baseline="0">
              <a:solidFill>
                <a:srgbClr val="C00000"/>
              </a:solidFill>
              <a:latin typeface="Arial"/>
              <a:cs typeface="Arial"/>
            </a:rPr>
            <a:t>תרגיל:</a:t>
          </a:r>
        </a:p>
        <a:p>
          <a:pPr algn="r" rtl="1">
            <a:defRPr sz="1000"/>
          </a:pPr>
          <a:r>
            <a:rPr lang="he-IL" sz="1200" b="0" i="0" u="none" strike="noStrike" baseline="0">
              <a:solidFill>
                <a:srgbClr val="000000"/>
              </a:solidFill>
              <a:latin typeface="Arial"/>
              <a:ea typeface="+mn-ea"/>
              <a:cs typeface="Arial"/>
            </a:rPr>
            <a:t>איגוד מגדלי האורז מנסה ללמוד כיצד משפיעים המשקעים על תפוקות האורז. </a:t>
          </a: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לצורך כך הוחלט להמחיש את הנתונים בעזרת גרף.</a:t>
          </a:r>
        </a:p>
        <a:p>
          <a:pPr algn="r" rtl="1">
            <a:defRPr sz="1000"/>
          </a:pPr>
          <a:r>
            <a:rPr lang="he-IL" sz="1200" b="0" i="0" u="none" strike="noStrike" baseline="0">
              <a:solidFill>
                <a:srgbClr val="000000"/>
              </a:solidFill>
              <a:latin typeface="Arial"/>
              <a:cs typeface="Arial"/>
            </a:rPr>
            <a:t>1. צרו גרף: </a:t>
          </a:r>
          <a:r>
            <a:rPr lang="en-US" sz="1200" b="0" i="0" u="none" strike="noStrike" baseline="0">
              <a:solidFill>
                <a:srgbClr val="000000"/>
              </a:solidFill>
              <a:latin typeface="Arial"/>
              <a:cs typeface="Arial"/>
            </a:rPr>
            <a:t>insert</a:t>
          </a:r>
          <a:r>
            <a:rPr lang="he-IL" sz="1200" b="0" i="0" u="none" strike="noStrike" baseline="0">
              <a:solidFill>
                <a:srgbClr val="000000"/>
              </a:solidFill>
              <a:latin typeface="Arial"/>
              <a:cs typeface="Arial"/>
            </a:rPr>
            <a:t>&gt; </a:t>
          </a:r>
          <a:r>
            <a:rPr lang="en-US" sz="1200" b="0" i="0" u="none" strike="noStrike" baseline="0">
              <a:solidFill>
                <a:srgbClr val="000000"/>
              </a:solidFill>
              <a:latin typeface="Arial"/>
              <a:cs typeface="Arial"/>
            </a:rPr>
            <a:t>graph</a:t>
          </a:r>
          <a:r>
            <a:rPr lang="he-IL" sz="1200" b="0" i="0" u="none" strike="noStrike" baseline="0">
              <a:solidFill>
                <a:srgbClr val="000000"/>
              </a:solidFill>
              <a:latin typeface="Arial"/>
              <a:cs typeface="Arial"/>
            </a:rPr>
            <a:t>&gt;</a:t>
          </a:r>
          <a:r>
            <a:rPr lang="en-US" sz="1200" b="0" i="0" u="none" strike="noStrike" baseline="0">
              <a:solidFill>
                <a:srgbClr val="000000"/>
              </a:solidFill>
              <a:latin typeface="Arial"/>
              <a:cs typeface="Arial"/>
            </a:rPr>
            <a:t> line </a:t>
          </a:r>
          <a:r>
            <a:rPr lang="he-IL" sz="1200" b="0" i="0" u="none" strike="noStrike" baseline="0">
              <a:solidFill>
                <a:srgbClr val="000000"/>
              </a:solidFill>
              <a:latin typeface="Arial"/>
              <a:cs typeface="Arial"/>
            </a:rPr>
            <a:t> עבור הטבלה לעיל.</a:t>
          </a:r>
        </a:p>
        <a:p>
          <a:pPr algn="r" rtl="1">
            <a:defRPr sz="1000"/>
          </a:pPr>
          <a:r>
            <a:rPr lang="he-IL" sz="1200" b="0" i="0" u="none" strike="noStrike" baseline="0">
              <a:solidFill>
                <a:srgbClr val="000000"/>
              </a:solidFill>
              <a:latin typeface="Arial"/>
              <a:cs typeface="Arial"/>
            </a:rPr>
            <a:t>כותרת הטבלה תהיה "כמות המשקעים החודשית בחלם בעשרת החודשים האחרונים". </a:t>
          </a:r>
          <a:r>
            <a:rPr lang="he-IL" sz="1200" b="0" i="0" u="none" strike="noStrike" baseline="0">
              <a:solidFill>
                <a:srgbClr val="C00000"/>
              </a:solidFill>
              <a:latin typeface="Arial"/>
              <a:cs typeface="Arial"/>
            </a:rPr>
            <a:t>שאלו את עצמכם - מה צריך להיות מוצג בתרשים על מנת שהכותרת תהיה נכונה ומחקו את המיותר.</a:t>
          </a:r>
        </a:p>
        <a:p>
          <a:pPr algn="r" rtl="1">
            <a:defRPr sz="1000"/>
          </a:pPr>
          <a:r>
            <a:rPr lang="he-IL" sz="1200" b="0" i="0" u="none" strike="noStrike" baseline="0">
              <a:solidFill>
                <a:srgbClr val="000000"/>
              </a:solidFill>
              <a:latin typeface="Arial"/>
              <a:cs typeface="Arial"/>
            </a:rPr>
            <a:t>2. שחקו עם התצוגות על מנת לראות מהי התצוגה שמציגה את הנתונים בצורה שמסבירה אותם באופן הברור ביותר. כלומר, מה שאל את עצמו איגוד מגדלי האורז וכיצד נוכל לענות על השאלה. התחילו ביצירת גרף מסוג פיזור וחשבו מה צריכים לייצג הצירים.</a:t>
          </a:r>
        </a:p>
        <a:p>
          <a:pPr algn="r" rtl="1">
            <a:defRPr sz="1000"/>
          </a:pPr>
          <a:r>
            <a:rPr lang="he-IL" sz="1200" b="0" i="0" u="none" strike="noStrike" baseline="0">
              <a:solidFill>
                <a:srgbClr val="000000"/>
              </a:solidFill>
              <a:latin typeface="Arial"/>
              <a:cs typeface="Arial"/>
            </a:rPr>
            <a:t>3. האם ניתן לומר כי היקף היבול מוסבר באופן ישיר ע"י כמות המשקעים? (באמצעות חישוב קורלציית פירסון) </a:t>
          </a: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12</xdr:col>
      <xdr:colOff>98777</xdr:colOff>
      <xdr:row>4</xdr:row>
      <xdr:rowOff>48918</xdr:rowOff>
    </xdr:from>
    <xdr:to>
      <xdr:col>19</xdr:col>
      <xdr:colOff>258703</xdr:colOff>
      <xdr:row>20</xdr:row>
      <xdr:rowOff>82784</xdr:rowOff>
    </xdr:to>
    <mc:AlternateContent xmlns:mc="http://schemas.openxmlformats.org/markup-compatibility/2006">
      <mc:Choice xmlns:cx1="http://schemas.microsoft.com/office/drawing/2015/9/8/chartex" Requires="cx1">
        <xdr:graphicFrame macro="">
          <xdr:nvGraphicFramePr>
            <xdr:cNvPr id="3" name="תרשים 2">
              <a:extLst>
                <a:ext uri="{FF2B5EF4-FFF2-40B4-BE49-F238E27FC236}">
                  <a16:creationId xmlns:a16="http://schemas.microsoft.com/office/drawing/2014/main" id="{4FE78A9C-100C-41DD-AEFB-AC6B523C1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314540186" y="726251"/>
              <a:ext cx="4572000" cy="2743200"/>
            </a:xfrm>
            <a:prstGeom prst="rect">
              <a:avLst/>
            </a:prstGeom>
            <a:solidFill>
              <a:prstClr val="white"/>
            </a:solidFill>
            <a:ln w="1">
              <a:solidFill>
                <a:prstClr val="green"/>
              </a:solidFill>
            </a:ln>
          </xdr:spPr>
          <xdr:txBody>
            <a:bodyPr vertOverflow="clip" horzOverflow="clip"/>
            <a:lstStyle/>
            <a:p>
              <a:r>
                <a:rPr lang="he-IL" sz="1100"/>
                <a:t>‏תרשים זה אינו זמין בגירסת Excel שברשותך.
עריכת צורה זו או שמירת חוברת עבודה זו בתבנית קובץ אחרת תנתק את התרשים לצמיתות.</a:t>
              </a:r>
            </a:p>
          </xdr:txBody>
        </xdr:sp>
      </mc:Fallback>
    </mc:AlternateContent>
    <xdr:clientData/>
  </xdr:twoCellAnchor>
  <xdr:twoCellAnchor>
    <xdr:from>
      <xdr:col>12</xdr:col>
      <xdr:colOff>61148</xdr:colOff>
      <xdr:row>21</xdr:row>
      <xdr:rowOff>161807</xdr:rowOff>
    </xdr:from>
    <xdr:to>
      <xdr:col>19</xdr:col>
      <xdr:colOff>221074</xdr:colOff>
      <xdr:row>37</xdr:row>
      <xdr:rowOff>73377</xdr:rowOff>
    </xdr:to>
    <xdr:graphicFrame macro="">
      <xdr:nvGraphicFramePr>
        <xdr:cNvPr id="5" name="תרשים 4">
          <a:extLst>
            <a:ext uri="{FF2B5EF4-FFF2-40B4-BE49-F238E27FC236}">
              <a16:creationId xmlns:a16="http://schemas.microsoft.com/office/drawing/2014/main" id="{BF1C275B-5978-4519-BFA5-4CA8A46FF3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42334</xdr:colOff>
      <xdr:row>39</xdr:row>
      <xdr:rowOff>20696</xdr:rowOff>
    </xdr:from>
    <xdr:to>
      <xdr:col>19</xdr:col>
      <xdr:colOff>202260</xdr:colOff>
      <xdr:row>55</xdr:row>
      <xdr:rowOff>54562</xdr:rowOff>
    </xdr:to>
    <xdr:graphicFrame macro="">
      <xdr:nvGraphicFramePr>
        <xdr:cNvPr id="6" name="תרשים 5">
          <a:extLst>
            <a:ext uri="{FF2B5EF4-FFF2-40B4-BE49-F238E27FC236}">
              <a16:creationId xmlns:a16="http://schemas.microsoft.com/office/drawing/2014/main" id="{F9C47D03-C94E-4A0B-89EC-CD6DD5E123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104774</xdr:colOff>
      <xdr:row>0</xdr:row>
      <xdr:rowOff>76199</xdr:rowOff>
    </xdr:from>
    <xdr:to>
      <xdr:col>13</xdr:col>
      <xdr:colOff>164224</xdr:colOff>
      <xdr:row>23</xdr:row>
      <xdr:rowOff>118241</xdr:rowOff>
    </xdr:to>
    <xdr:sp macro="" textlink="">
      <xdr:nvSpPr>
        <xdr:cNvPr id="11265" name="Text Box 1">
          <a:extLst>
            <a:ext uri="{FF2B5EF4-FFF2-40B4-BE49-F238E27FC236}">
              <a16:creationId xmlns:a16="http://schemas.microsoft.com/office/drawing/2014/main" id="{00000000-0008-0000-0700-0000012C0000}"/>
            </a:ext>
          </a:extLst>
        </xdr:cNvPr>
        <xdr:cNvSpPr txBox="1">
          <a:spLocks noChangeArrowheads="1"/>
        </xdr:cNvSpPr>
      </xdr:nvSpPr>
      <xdr:spPr bwMode="auto">
        <a:xfrm>
          <a:off x="10001105482" y="76199"/>
          <a:ext cx="5557675" cy="4436680"/>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צרו תרשים שיציג 3 גרפים קוויים שייצגו את 3 העמודות שמופיעות בטבלה: גודל כח העבודה הפוטנציאלי בחלם, גודל אוכלוסיית המובטלים וגודל אוכלוסיית הסטודנטים העובדים על פי נתוני הטבלה (אין צורך בחישובים).</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מהו ציר ה-</a:t>
          </a:r>
          <a:r>
            <a:rPr lang="en-US" sz="1200" b="0" i="0" u="none" strike="noStrike" baseline="0">
              <a:solidFill>
                <a:srgbClr val="000000"/>
              </a:solidFill>
              <a:latin typeface="Arial"/>
              <a:cs typeface="Arial"/>
            </a:rPr>
            <a:t>X</a:t>
          </a:r>
          <a:r>
            <a:rPr lang="he-IL" sz="1200" b="0" i="0" u="none" strike="noStrike" baseline="0">
              <a:solidFill>
                <a:srgbClr val="000000"/>
              </a:solidFill>
              <a:latin typeface="Arial"/>
              <a:cs typeface="Arial"/>
            </a:rPr>
            <a:t> שלכם ? חשבו היטב.</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כתוצאה מההבדלים בסדר גודל המספרים בין הטורים נסו להשתמש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r>
            <a:rPr lang="en-US" sz="1200" b="0" i="0" u="none" strike="noStrike" baseline="0">
              <a:solidFill>
                <a:srgbClr val="000000"/>
              </a:solidFill>
              <a:latin typeface="Arial"/>
              <a:cs typeface="Arial"/>
            </a:rPr>
            <a:t> </a:t>
          </a:r>
          <a:r>
            <a:rPr lang="he-IL" sz="1200" b="0" i="0" u="none" strike="noStrike" baseline="0">
              <a:solidFill>
                <a:srgbClr val="000000"/>
              </a:solidFill>
              <a:latin typeface="Arial"/>
              <a:cs typeface="Arial"/>
            </a:rPr>
            <a:t> </a:t>
          </a:r>
        </a:p>
        <a:p>
          <a:pPr algn="r" rtl="1">
            <a:defRPr sz="1000"/>
          </a:pPr>
          <a:r>
            <a:rPr lang="he-IL" sz="1200" b="0" i="0" u="none" strike="noStrike" baseline="0">
              <a:solidFill>
                <a:srgbClr val="000000"/>
              </a:solidFill>
              <a:latin typeface="Arial"/>
              <a:cs typeface="Arial"/>
            </a:rPr>
            <a:t>מצאו את הבעיה בכך (ניתן לבצע זאת ע"י לחיצה על הציר ובתיבת דו שיח עיצוב ציר בכרטיסיית סרגל</a:t>
          </a:r>
        </a:p>
        <a:p>
          <a:pPr algn="r" rtl="1">
            <a:defRPr sz="1000"/>
          </a:pPr>
          <a:r>
            <a:rPr lang="he-IL" sz="1200" b="0" i="0" u="none" strike="noStrike" baseline="0">
              <a:solidFill>
                <a:srgbClr val="000000"/>
              </a:solidFill>
              <a:latin typeface="Arial"/>
              <a:cs typeface="Arial"/>
            </a:rPr>
            <a:t>סמנו את ציר לוגריתמי).</a:t>
          </a:r>
        </a:p>
        <a:p>
          <a:pPr algn="r" rtl="1">
            <a:defRPr sz="1000"/>
          </a:pPr>
          <a:r>
            <a:rPr lang="he-IL" sz="1200" b="0" i="0" u="none" strike="noStrike" baseline="0">
              <a:solidFill>
                <a:srgbClr val="000000"/>
              </a:solidFill>
              <a:latin typeface="Arial"/>
              <a:cs typeface="Arial"/>
            </a:rPr>
            <a:t>לאחר מכן תקנו את הבעיה באמצעות ציר משני.</a:t>
          </a:r>
        </a:p>
        <a:p>
          <a:pPr algn="r" rtl="1">
            <a:defRPr sz="1000"/>
          </a:pPr>
          <a:r>
            <a:rPr lang="he-IL" sz="1200" b="0" i="0" u="none" strike="noStrike" baseline="0">
              <a:solidFill>
                <a:srgbClr val="000000"/>
              </a:solidFill>
              <a:latin typeface="Arial"/>
              <a:cs typeface="Arial"/>
            </a:rPr>
            <a:t>ניתן לבצע זאת בעזרת לחיצה על הסדרה בעלת המספרים הגדולים ולחצן ימיני, ובחירה של </a:t>
          </a:r>
          <a:r>
            <a:rPr lang="en-US" sz="1200" b="0" i="0" u="none" strike="noStrike" baseline="0">
              <a:solidFill>
                <a:srgbClr val="000000"/>
              </a:solidFill>
              <a:latin typeface="Arial"/>
              <a:cs typeface="Arial"/>
            </a:rPr>
            <a:t>format data series</a:t>
          </a:r>
          <a:r>
            <a:rPr lang="he-IL" sz="1200" b="0" i="0" u="none" strike="noStrike" baseline="0">
              <a:solidFill>
                <a:srgbClr val="000000"/>
              </a:solidFill>
              <a:latin typeface="Arial"/>
              <a:cs typeface="Arial"/>
            </a:rPr>
            <a:t>, ומשם לבחור לצייר אותו על ציר משני (</a:t>
          </a:r>
          <a:r>
            <a:rPr lang="en-US" sz="1200" b="0" i="0" u="none" strike="noStrike" baseline="0">
              <a:solidFill>
                <a:srgbClr val="000000"/>
              </a:solidFill>
              <a:latin typeface="Arial"/>
              <a:cs typeface="Arial"/>
            </a:rPr>
            <a:t>secondary axis</a:t>
          </a:r>
          <a:r>
            <a:rPr lang="he-IL" sz="1200" b="0" i="0" u="none" strike="noStrike" baseline="0">
              <a:solidFill>
                <a:srgbClr val="000000"/>
              </a:solidFill>
              <a:latin typeface="Arial"/>
              <a:cs typeface="Arial"/>
            </a:rPr>
            <a:t>).</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לסיכום, הציגו 3 גרפים קוויים:</a:t>
          </a:r>
        </a:p>
        <a:p>
          <a:pPr algn="r" rtl="1">
            <a:defRPr sz="1000"/>
          </a:pPr>
          <a:r>
            <a:rPr lang="he-IL" sz="1200" b="0" i="0" u="none" strike="noStrike" baseline="0">
              <a:solidFill>
                <a:srgbClr val="000000"/>
              </a:solidFill>
              <a:latin typeface="Arial"/>
              <a:cs typeface="Arial"/>
            </a:rPr>
            <a:t>1. הגרף המקורי, הבעייתי, והסבירו בכמה מילים מהי הבעיה בו.</a:t>
          </a:r>
        </a:p>
        <a:p>
          <a:pPr algn="r" rtl="1">
            <a:defRPr sz="1000"/>
          </a:pPr>
          <a:r>
            <a:rPr lang="he-IL" sz="1200" b="0" i="0" u="none" strike="noStrike" baseline="0">
              <a:solidFill>
                <a:srgbClr val="000000"/>
              </a:solidFill>
              <a:latin typeface="Arial"/>
              <a:cs typeface="Arial"/>
            </a:rPr>
            <a:t>2. פתרון ראשון שמוצע - שימוש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p>
        <a:p>
          <a:pPr algn="r" rtl="1">
            <a:defRPr sz="1000"/>
          </a:pPr>
          <a:r>
            <a:rPr lang="he-IL" sz="1200" b="0" i="0" u="none" strike="noStrike" baseline="0">
              <a:solidFill>
                <a:srgbClr val="000000"/>
              </a:solidFill>
              <a:latin typeface="Arial"/>
              <a:cs typeface="Arial"/>
            </a:rPr>
            <a:t>3. פתרון שני שמוצע - ציר משני (לאו דווקא לוגריתמי).</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האם הבעיה נפתרה ?</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כמו כן, </a:t>
          </a:r>
          <a:r>
            <a:rPr lang="he-IL" sz="1200" b="0" i="0" u="none" strike="noStrike" baseline="0">
              <a:solidFill>
                <a:srgbClr val="FF0000"/>
              </a:solidFill>
              <a:latin typeface="Arial"/>
              <a:cs typeface="Arial"/>
            </a:rPr>
            <a:t>שימו לב כי צריך להיות ברור מהסתכלות על הגרף בלבד (לא על הטבלה) לאיזה ציר </a:t>
          </a:r>
          <a:r>
            <a:rPr lang="en-US" sz="1200" b="0" i="0" u="none" strike="noStrike" baseline="0">
              <a:solidFill>
                <a:srgbClr val="FF0000"/>
              </a:solidFill>
              <a:latin typeface="Arial"/>
              <a:cs typeface="Arial"/>
            </a:rPr>
            <a:t>Y</a:t>
          </a:r>
          <a:r>
            <a:rPr lang="he-IL" sz="1200" b="0" i="0" u="none" strike="noStrike" baseline="0">
              <a:solidFill>
                <a:srgbClr val="FF0000"/>
              </a:solidFill>
              <a:latin typeface="Arial"/>
              <a:cs typeface="Arial"/>
            </a:rPr>
            <a:t> שייך כל קו נתונים.</a:t>
          </a: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14</xdr:col>
      <xdr:colOff>304800</xdr:colOff>
      <xdr:row>2</xdr:row>
      <xdr:rowOff>76199</xdr:rowOff>
    </xdr:from>
    <xdr:to>
      <xdr:col>21</xdr:col>
      <xdr:colOff>457200</xdr:colOff>
      <xdr:row>16</xdr:row>
      <xdr:rowOff>76199</xdr:rowOff>
    </xdr:to>
    <xdr:graphicFrame macro="">
      <xdr:nvGraphicFramePr>
        <xdr:cNvPr id="2" name="תרשים 1">
          <a:extLst>
            <a:ext uri="{FF2B5EF4-FFF2-40B4-BE49-F238E27FC236}">
              <a16:creationId xmlns:a16="http://schemas.microsoft.com/office/drawing/2014/main" id="{5194A6DB-2ADA-46D6-B654-2F463940B5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272142</xdr:colOff>
      <xdr:row>23</xdr:row>
      <xdr:rowOff>32656</xdr:rowOff>
    </xdr:from>
    <xdr:to>
      <xdr:col>21</xdr:col>
      <xdr:colOff>424542</xdr:colOff>
      <xdr:row>37</xdr:row>
      <xdr:rowOff>32656</xdr:rowOff>
    </xdr:to>
    <xdr:graphicFrame macro="">
      <xdr:nvGraphicFramePr>
        <xdr:cNvPr id="6" name="תרשים 5">
          <a:extLst>
            <a:ext uri="{FF2B5EF4-FFF2-40B4-BE49-F238E27FC236}">
              <a16:creationId xmlns:a16="http://schemas.microsoft.com/office/drawing/2014/main" id="{03C90592-5101-4509-9DEA-7D6F479D62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11</xdr:row>
      <xdr:rowOff>0</xdr:rowOff>
    </xdr:from>
    <xdr:to>
      <xdr:col>8</xdr:col>
      <xdr:colOff>0</xdr:colOff>
      <xdr:row>14</xdr:row>
      <xdr:rowOff>47625</xdr:rowOff>
    </xdr:to>
    <xdr:sp macro="" textlink="">
      <xdr:nvSpPr>
        <xdr:cNvPr id="19458" name="Text Box 2">
          <a:extLst>
            <a:ext uri="{FF2B5EF4-FFF2-40B4-BE49-F238E27FC236}">
              <a16:creationId xmlns:a16="http://schemas.microsoft.com/office/drawing/2014/main" id="{00000000-0008-0000-0800-0000024C0000}"/>
            </a:ext>
          </a:extLst>
        </xdr:cNvPr>
        <xdr:cNvSpPr txBox="1">
          <a:spLocks noChangeArrowheads="1"/>
        </xdr:cNvSpPr>
      </xdr:nvSpPr>
      <xdr:spPr bwMode="auto">
        <a:xfrm>
          <a:off x="151180800" y="1781175"/>
          <a:ext cx="5010150" cy="5334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p>
        <a:p>
          <a:pPr algn="r" rtl="1">
            <a:defRPr sz="1000"/>
          </a:pPr>
          <a:r>
            <a:rPr lang="he-IL" sz="1000" b="0" i="0" u="none" strike="noStrike" baseline="0">
              <a:solidFill>
                <a:srgbClr val="000000"/>
              </a:solidFill>
              <a:latin typeface="Arial"/>
              <a:cs typeface="Arial"/>
            </a:rPr>
            <a:t>1. צרו גרף מהנתונים. שימו לב לבעיה שיש תת קטגוריות חוץ מהקטגוריות של ציר</a:t>
          </a:r>
          <a:r>
            <a:rPr lang="en-US" sz="1000" b="0" i="0" u="none" strike="noStrike" baseline="0">
              <a:solidFill>
                <a:srgbClr val="000000"/>
              </a:solidFill>
              <a:latin typeface="Arial"/>
              <a:cs typeface="Arial"/>
            </a:rPr>
            <a:t>X </a:t>
          </a:r>
          <a:r>
            <a:rPr lang="he-IL" sz="1000" b="0" i="0" u="none" strike="noStrike" baseline="0">
              <a:solidFill>
                <a:srgbClr val="000000"/>
              </a:solidFill>
              <a:latin typeface="Arial"/>
              <a:cs typeface="Arial"/>
            </a:rPr>
            <a:t> וכיצד</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 מסתדר עם המצב הזה.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227135</xdr:colOff>
      <xdr:row>26</xdr:row>
      <xdr:rowOff>115764</xdr:rowOff>
    </xdr:from>
    <xdr:to>
      <xdr:col>8</xdr:col>
      <xdr:colOff>549519</xdr:colOff>
      <xdr:row>34</xdr:row>
      <xdr:rowOff>30040</xdr:rowOff>
    </xdr:to>
    <xdr:sp macro="" textlink="">
      <xdr:nvSpPr>
        <xdr:cNvPr id="19460" name="Text Box 4">
          <a:extLst>
            <a:ext uri="{FF2B5EF4-FFF2-40B4-BE49-F238E27FC236}">
              <a16:creationId xmlns:a16="http://schemas.microsoft.com/office/drawing/2014/main" id="{00000000-0008-0000-0800-0000044C0000}"/>
            </a:ext>
          </a:extLst>
        </xdr:cNvPr>
        <xdr:cNvSpPr txBox="1">
          <a:spLocks noChangeArrowheads="1"/>
        </xdr:cNvSpPr>
      </xdr:nvSpPr>
      <xdr:spPr bwMode="auto">
        <a:xfrm>
          <a:off x="9958262942" y="4321418"/>
          <a:ext cx="5868865" cy="1203814"/>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ציירו גרף עבור מרחק טיסה 1, גרף שני עבור מרחק טיסה 2. הגרפים צריכים להיות מסוג </a:t>
          </a:r>
          <a:r>
            <a:rPr lang="en-US" sz="1000" b="0" i="0" u="none" strike="noStrike" baseline="0">
              <a:solidFill>
                <a:srgbClr val="000000"/>
              </a:solidFill>
              <a:latin typeface="Arial"/>
              <a:cs typeface="Arial"/>
            </a:rPr>
            <a:t>X</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Y</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SCATTER</a:t>
          </a:r>
          <a:r>
            <a:rPr lang="he-IL" sz="1000" b="0" i="0" u="none" strike="noStrike" baseline="0">
              <a:solidFill>
                <a:srgbClr val="000000"/>
              </a:solidFill>
              <a:latin typeface="Arial"/>
              <a:cs typeface="Arial"/>
            </a:rPr>
            <a:t>, ללא קו.</a:t>
          </a:r>
        </a:p>
        <a:p>
          <a:pPr algn="r" rtl="1">
            <a:defRPr sz="1000"/>
          </a:pPr>
          <a:r>
            <a:rPr lang="he-IL" sz="1000" b="0" i="0" u="none" strike="noStrike" baseline="0">
              <a:solidFill>
                <a:srgbClr val="000000"/>
              </a:solidFill>
              <a:latin typeface="Arial"/>
              <a:cs typeface="Arial"/>
            </a:rPr>
            <a:t>2. עבור כל גרף, הוסיפו קו מגמה, כלומר בחרו את סדרת הנקודות ולחצו על הפתור הימני של העכבר, ובחרו </a:t>
          </a:r>
          <a:r>
            <a:rPr lang="en-US" sz="1000" b="0" i="0" u="none" strike="noStrike" baseline="0">
              <a:solidFill>
                <a:srgbClr val="000000"/>
              </a:solidFill>
              <a:latin typeface="Arial"/>
              <a:cs typeface="Arial"/>
            </a:rPr>
            <a:t>add trendline</a:t>
          </a:r>
          <a:r>
            <a:rPr lang="he-IL" sz="1000" b="0" i="0" u="none" strike="noStrike" baseline="0">
              <a:solidFill>
                <a:srgbClr val="000000"/>
              </a:solidFill>
              <a:latin typeface="Arial"/>
              <a:cs typeface="Arial"/>
            </a:rPr>
            <a:t>. איזה סוג הכי מתאים לנתונים שלנו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כדי להבין את ההבדל בין גרף מגמה לבין חיבור הנקודות בין הקווים שנו את הערכים המספריים בעמודה מרחק טיסה 1 כך שחלק מהנקודות יזוזו קצת למעלה וחלק קצת למטה וציירו גרף נוסף גם עם קוים מקשרים </a:t>
          </a:r>
          <a:r>
            <a:rPr lang="he-IL" sz="1000" b="0" i="0" baseline="0">
              <a:effectLst/>
              <a:latin typeface="+mn-lt"/>
              <a:ea typeface="+mn-ea"/>
              <a:cs typeface="+mn-cs"/>
            </a:rPr>
            <a:t>עליו ציירו  </a:t>
          </a:r>
          <a:r>
            <a:rPr lang="he-IL" sz="1000" b="0" i="0" u="none" strike="noStrike" baseline="0">
              <a:solidFill>
                <a:srgbClr val="000000"/>
              </a:solidFill>
              <a:latin typeface="Arial"/>
              <a:cs typeface="Arial"/>
            </a:rPr>
            <a:t>קו מגמה. </a:t>
          </a:r>
        </a:p>
        <a:p>
          <a:pPr algn="r" rtl="1">
            <a:defRPr sz="1000"/>
          </a:pPr>
          <a:r>
            <a:rPr lang="he-IL" sz="1000" b="0" i="0" u="none" strike="noStrike" baseline="0">
              <a:solidFill>
                <a:srgbClr val="000000"/>
              </a:solidFill>
              <a:latin typeface="Arial"/>
              <a:cs typeface="Arial"/>
            </a:rPr>
            <a:t>3. הוסיפו על גבי הגרף את משוואת קו המגמה. </a:t>
          </a:r>
        </a:p>
        <a:p>
          <a:pPr algn="r" rtl="1">
            <a:defRPr sz="1000"/>
          </a:pPr>
          <a:r>
            <a:rPr lang="he-IL" sz="1000" b="0" i="0" u="none" strike="noStrike" baseline="0">
              <a:solidFill>
                <a:srgbClr val="000000"/>
              </a:solidFill>
              <a:latin typeface="Arial"/>
              <a:cs typeface="Arial"/>
            </a:rPr>
            <a:t>4. הציגו את ערך </a:t>
          </a:r>
          <a:r>
            <a:rPr lang="en-US" sz="1000" b="0" i="0" u="none" strike="noStrike" baseline="0">
              <a:solidFill>
                <a:srgbClr val="000000"/>
              </a:solidFill>
              <a:latin typeface="Arial"/>
              <a:cs typeface="Arial"/>
            </a:rPr>
            <a:t>R</a:t>
          </a:r>
          <a:r>
            <a:rPr lang="he-IL" sz="1000" b="0" i="0" u="none" strike="noStrike" baseline="0">
              <a:solidFill>
                <a:srgbClr val="000000"/>
              </a:solidFill>
              <a:latin typeface="Arial"/>
              <a:cs typeface="Arial"/>
            </a:rPr>
            <a:t> בריבוע עבור כל גרף.</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9</xdr:col>
      <xdr:colOff>257175</xdr:colOff>
      <xdr:row>11</xdr:row>
      <xdr:rowOff>100013</xdr:rowOff>
    </xdr:from>
    <xdr:to>
      <xdr:col>16</xdr:col>
      <xdr:colOff>561975</xdr:colOff>
      <xdr:row>27</xdr:row>
      <xdr:rowOff>100013</xdr:rowOff>
    </xdr:to>
    <xdr:graphicFrame macro="">
      <xdr:nvGraphicFramePr>
        <xdr:cNvPr id="2" name="תרשים 1">
          <a:extLst>
            <a:ext uri="{FF2B5EF4-FFF2-40B4-BE49-F238E27FC236}">
              <a16:creationId xmlns:a16="http://schemas.microsoft.com/office/drawing/2014/main" id="{D4DE96C3-A734-45C2-9684-434DB6442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361950</xdr:colOff>
      <xdr:row>27</xdr:row>
      <xdr:rowOff>42863</xdr:rowOff>
    </xdr:from>
    <xdr:to>
      <xdr:col>18</xdr:col>
      <xdr:colOff>57150</xdr:colOff>
      <xdr:row>43</xdr:row>
      <xdr:rowOff>42863</xdr:rowOff>
    </xdr:to>
    <xdr:graphicFrame macro="">
      <xdr:nvGraphicFramePr>
        <xdr:cNvPr id="3" name="תרשים 2">
          <a:extLst>
            <a:ext uri="{FF2B5EF4-FFF2-40B4-BE49-F238E27FC236}">
              <a16:creationId xmlns:a16="http://schemas.microsoft.com/office/drawing/2014/main" id="{B4B77554-7F21-45ED-AC84-CDB4736439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419100</xdr:colOff>
      <xdr:row>36</xdr:row>
      <xdr:rowOff>33338</xdr:rowOff>
    </xdr:from>
    <xdr:to>
      <xdr:col>9</xdr:col>
      <xdr:colOff>466725</xdr:colOff>
      <xdr:row>52</xdr:row>
      <xdr:rowOff>33338</xdr:rowOff>
    </xdr:to>
    <xdr:graphicFrame macro="">
      <xdr:nvGraphicFramePr>
        <xdr:cNvPr id="4" name="תרשים 3">
          <a:extLst>
            <a:ext uri="{FF2B5EF4-FFF2-40B4-BE49-F238E27FC236}">
              <a16:creationId xmlns:a16="http://schemas.microsoft.com/office/drawing/2014/main" id="{4E51A169-FFE3-41A2-B824-87607E458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542925</xdr:colOff>
      <xdr:row>7</xdr:row>
      <xdr:rowOff>76200</xdr:rowOff>
    </xdr:from>
    <xdr:to>
      <xdr:col>11</xdr:col>
      <xdr:colOff>0</xdr:colOff>
      <xdr:row>20</xdr:row>
      <xdr:rowOff>57150</xdr:rowOff>
    </xdr:to>
    <xdr:graphicFrame macro="">
      <xdr:nvGraphicFramePr>
        <xdr:cNvPr id="18435" name="Chart 1">
          <a:extLst>
            <a:ext uri="{FF2B5EF4-FFF2-40B4-BE49-F238E27FC236}">
              <a16:creationId xmlns:a16="http://schemas.microsoft.com/office/drawing/2014/main" id="{00000000-0008-0000-0900-000003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600075</xdr:colOff>
      <xdr:row>20</xdr:row>
      <xdr:rowOff>161192</xdr:rowOff>
    </xdr:from>
    <xdr:to>
      <xdr:col>11</xdr:col>
      <xdr:colOff>586153</xdr:colOff>
      <xdr:row>31</xdr:row>
      <xdr:rowOff>80596</xdr:rowOff>
    </xdr:to>
    <xdr:sp macro="" textlink="">
      <xdr:nvSpPr>
        <xdr:cNvPr id="18434" name="Text Box 2">
          <a:extLst>
            <a:ext uri="{FF2B5EF4-FFF2-40B4-BE49-F238E27FC236}">
              <a16:creationId xmlns:a16="http://schemas.microsoft.com/office/drawing/2014/main" id="{00000000-0008-0000-0900-000002480000}"/>
            </a:ext>
          </a:extLst>
        </xdr:cNvPr>
        <xdr:cNvSpPr txBox="1">
          <a:spLocks noChangeArrowheads="1"/>
        </xdr:cNvSpPr>
      </xdr:nvSpPr>
      <xdr:spPr bwMode="auto">
        <a:xfrm>
          <a:off x="9956401904" y="3385038"/>
          <a:ext cx="6675559" cy="169252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100" b="0" i="0" u="none" strike="noStrike" baseline="0">
              <a:solidFill>
                <a:srgbClr val="000080"/>
              </a:solidFill>
              <a:latin typeface="Arial"/>
              <a:cs typeface="Arial"/>
            </a:rPr>
            <a:t>תרגיל:</a:t>
          </a:r>
          <a:endParaRPr lang="he-IL" sz="1100" b="0" i="0" u="none" strike="noStrike" baseline="0">
            <a:solidFill>
              <a:srgbClr val="000000"/>
            </a:solidFill>
            <a:latin typeface="Arial"/>
            <a:cs typeface="Arial"/>
          </a:endParaRPr>
        </a:p>
        <a:p>
          <a:pPr algn="r" rtl="1">
            <a:defRPr sz="1000"/>
          </a:pPr>
          <a:r>
            <a:rPr lang="he-IL" sz="1100" b="0" i="0" u="none" strike="noStrike" baseline="0">
              <a:solidFill>
                <a:srgbClr val="000000"/>
              </a:solidFill>
              <a:latin typeface="Arial"/>
              <a:cs typeface="Arial"/>
            </a:rPr>
            <a:t>1. הוסיפו את העמודה של מוצר ד' אשר בעמודה</a:t>
          </a:r>
          <a:r>
            <a:rPr lang="en-US" sz="1100" b="0" i="0" u="none" strike="noStrike" baseline="0">
              <a:solidFill>
                <a:srgbClr val="000000"/>
              </a:solidFill>
              <a:latin typeface="Arial"/>
              <a:cs typeface="Arial"/>
            </a:rPr>
            <a:t>H </a:t>
          </a:r>
          <a:r>
            <a:rPr lang="he-IL" sz="1100" b="0" i="0" u="none" strike="noStrike" baseline="0">
              <a:solidFill>
                <a:srgbClr val="000000"/>
              </a:solidFill>
              <a:latin typeface="Arial"/>
              <a:cs typeface="Arial"/>
            </a:rPr>
            <a:t> באמצעות בחירת הגרף (זה יסמן את התחום של התאים לפיו מצוייר הגרף), ולאחר מכן הגדלת התחום ע"י גרירת הריבוע הצבעוני שלו כך שיכלול את עמודה </a:t>
          </a:r>
          <a:r>
            <a:rPr lang="en-US" sz="1100" b="0" i="0" u="none" strike="noStrike" baseline="0">
              <a:solidFill>
                <a:srgbClr val="000000"/>
              </a:solidFill>
              <a:latin typeface="Arial"/>
              <a:cs typeface="Arial"/>
            </a:rPr>
            <a:t>H</a:t>
          </a:r>
          <a:r>
            <a:rPr lang="he-IL" sz="1100" b="0" i="0" u="none" strike="noStrike" baseline="0">
              <a:solidFill>
                <a:srgbClr val="000000"/>
              </a:solidFill>
              <a:latin typeface="Arial"/>
              <a:cs typeface="Arial"/>
            </a:rPr>
            <a:t>. </a:t>
          </a:r>
        </a:p>
        <a:p>
          <a:pPr algn="r" rtl="1">
            <a:defRPr sz="1000"/>
          </a:pPr>
          <a:r>
            <a:rPr lang="he-IL" sz="1100" b="0" i="0" u="none" strike="noStrike" baseline="0">
              <a:solidFill>
                <a:srgbClr val="000000"/>
              </a:solidFill>
              <a:latin typeface="Arial"/>
              <a:cs typeface="Arial"/>
            </a:rPr>
            <a:t>2. מחקו את 3 העמודות הריקות ע"י קליק ימני על אזור התרשים&gt;</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ולאחר מכן מחקו את העמודות שאינן רלוונטיות.</a:t>
          </a:r>
        </a:p>
        <a:p>
          <a:pPr algn="r" rtl="1">
            <a:defRPr sz="1000"/>
          </a:pPr>
          <a:r>
            <a:rPr lang="he-IL" sz="1100" b="0" i="0" u="none" strike="noStrike" baseline="0">
              <a:solidFill>
                <a:srgbClr val="000000"/>
              </a:solidFill>
              <a:latin typeface="Arial"/>
              <a:cs typeface="Arial"/>
            </a:rPr>
            <a:t>2. הסירו את עמודת מוצר ד' מהגרף ע"י לחיצה על</a:t>
          </a:r>
          <a:r>
            <a:rPr lang="en-US" sz="1100" b="0" i="0" u="none" strike="noStrike" baseline="0">
              <a:solidFill>
                <a:srgbClr val="000000"/>
              </a:solidFill>
              <a:latin typeface="Arial"/>
              <a:cs typeface="Arial"/>
            </a:rPr>
            <a:t>DEL. </a:t>
          </a:r>
          <a:r>
            <a:rPr lang="he-IL" sz="1100" b="0" i="0" u="none" strike="noStrike" baseline="0">
              <a:solidFill>
                <a:srgbClr val="000000"/>
              </a:solidFill>
              <a:latin typeface="Arial"/>
              <a:cs typeface="Arial"/>
            </a:rPr>
            <a:t> שימו לב שמחיקת הנתונים בגיליון אינה משנה את טווח הנתונים שנבחר בשלב 2 של אשף התרשימים. פעולה שקולה היא ללחוץ קליק ימני על אזור התרשים&gt;</a:t>
          </a:r>
          <a:r>
            <a:rPr lang="en-US" sz="1100" b="0" i="0" u="none" strike="noStrike" baseline="0">
              <a:solidFill>
                <a:srgbClr val="000000"/>
              </a:solidFill>
              <a:latin typeface="Arial"/>
              <a:cs typeface="Arial"/>
            </a:rPr>
            <a:t>select data</a:t>
          </a:r>
          <a:r>
            <a:rPr lang="he-IL" sz="1100" b="0" i="0" u="none" strike="noStrike" baseline="0">
              <a:solidFill>
                <a:srgbClr val="000000"/>
              </a:solidFill>
              <a:latin typeface="Arial"/>
              <a:cs typeface="Arial"/>
            </a:rPr>
            <a:t> ותיקון טווח הנתונים בגיליון.</a:t>
          </a:r>
        </a:p>
        <a:p>
          <a:pPr algn="r" rtl="1">
            <a:defRPr sz="1000"/>
          </a:pPr>
          <a:r>
            <a:rPr lang="en-US" sz="1100" b="0" i="0" u="none" strike="noStrike" baseline="0">
              <a:solidFill>
                <a:srgbClr val="000000"/>
              </a:solidFill>
              <a:latin typeface="Arial"/>
              <a:cs typeface="Arial"/>
            </a:rPr>
            <a:t>4</a:t>
          </a:r>
          <a:r>
            <a:rPr lang="he-IL" sz="1100" b="0" i="0" u="none" strike="noStrike" baseline="0">
              <a:solidFill>
                <a:srgbClr val="000000"/>
              </a:solidFill>
              <a:latin typeface="Arial"/>
              <a:cs typeface="Arial"/>
            </a:rPr>
            <a:t>. מחקו את הסדרה של מוצר ב' מהגרף.</a:t>
          </a:r>
        </a:p>
        <a:p>
          <a:pPr algn="r" rtl="1">
            <a:defRPr sz="1000"/>
          </a:pPr>
          <a:r>
            <a:rPr lang="en-US" sz="1100" b="0" i="0" u="none" strike="noStrike" baseline="0">
              <a:solidFill>
                <a:srgbClr val="000000"/>
              </a:solidFill>
              <a:latin typeface="Arial"/>
              <a:cs typeface="Arial"/>
            </a:rPr>
            <a:t>5</a:t>
          </a:r>
          <a:r>
            <a:rPr lang="he-IL" sz="1100" b="0" i="0" u="none" strike="noStrike" baseline="0">
              <a:solidFill>
                <a:srgbClr val="000000"/>
              </a:solidFill>
              <a:latin typeface="Arial"/>
              <a:cs typeface="Arial"/>
            </a:rPr>
            <a:t>. ניתן לשנות את סדר הסדרות בתיבת השיח של</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שהשתמשתם בו בשלב 3. נסו זאת.</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18</xdr:row>
      <xdr:rowOff>66675</xdr:rowOff>
    </xdr:from>
    <xdr:to>
      <xdr:col>9</xdr:col>
      <xdr:colOff>590550</xdr:colOff>
      <xdr:row>31</xdr:row>
      <xdr:rowOff>114300</xdr:rowOff>
    </xdr:to>
    <xdr:sp macro="" textlink="">
      <xdr:nvSpPr>
        <xdr:cNvPr id="21505" name="Text Box 1">
          <a:extLst>
            <a:ext uri="{FF2B5EF4-FFF2-40B4-BE49-F238E27FC236}">
              <a16:creationId xmlns:a16="http://schemas.microsoft.com/office/drawing/2014/main" id="{00000000-0008-0000-0A00-000001540000}"/>
            </a:ext>
          </a:extLst>
        </xdr:cNvPr>
        <xdr:cNvSpPr txBox="1">
          <a:spLocks noChangeArrowheads="1"/>
        </xdr:cNvSpPr>
      </xdr:nvSpPr>
      <xdr:spPr bwMode="auto">
        <a:xfrm>
          <a:off x="9981609450" y="3467100"/>
          <a:ext cx="6257925" cy="215265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הפקודה חתירה למטרה:</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מתחת לעמודה </a:t>
          </a:r>
          <a:r>
            <a:rPr lang="en-US" sz="1000" b="0" i="0" u="none" strike="noStrike" baseline="0">
              <a:solidFill>
                <a:srgbClr val="000000"/>
              </a:solidFill>
              <a:latin typeface="Arial"/>
              <a:cs typeface="Arial"/>
            </a:rPr>
            <a:t>I </a:t>
          </a:r>
          <a:r>
            <a:rPr lang="he-IL" sz="1000" b="0" i="0" u="none" strike="noStrike" baseline="0">
              <a:solidFill>
                <a:srgbClr val="000000"/>
              </a:solidFill>
              <a:latin typeface="Arial"/>
              <a:cs typeface="Arial"/>
            </a:rPr>
            <a:t>ישנם שלושה תאים מסומנים אשר בשניים התחתונים יש נוסחאות. ישנם קשרי גומלין בין הנוסחאות, ומטרתכם היא לשנות את 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כך שבתא </a:t>
          </a:r>
          <a:r>
            <a:rPr lang="en-US" sz="1000" b="0" i="0" u="none" strike="noStrike" baseline="0">
              <a:solidFill>
                <a:srgbClr val="000000"/>
              </a:solidFill>
              <a:latin typeface="Arial"/>
              <a:cs typeface="Arial"/>
            </a:rPr>
            <a:t>I4 </a:t>
          </a:r>
          <a:r>
            <a:rPr lang="he-IL" sz="1000" b="0" i="0" u="none" strike="noStrike" baseline="0">
              <a:solidFill>
                <a:srgbClr val="000000"/>
              </a:solidFill>
              <a:latin typeface="Arial"/>
              <a:cs typeface="Arial"/>
            </a:rPr>
            <a:t>נקבל את הערך 0.5. נסו לשנות את הערך בתא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על מנת לקבל את הערך 0.5 בתא </a:t>
          </a:r>
          <a:r>
            <a:rPr lang="en-US" sz="1000" b="0" i="0" u="none" strike="noStrike" baseline="0">
              <a:solidFill>
                <a:srgbClr val="000000"/>
              </a:solidFill>
              <a:latin typeface="Arial"/>
              <a:cs typeface="Arial"/>
            </a:rPr>
            <a:t>I4.</a:t>
          </a:r>
        </a:p>
        <a:p>
          <a:pPr algn="r" rtl="1">
            <a:defRPr sz="1000"/>
          </a:pPr>
          <a:r>
            <a:rPr lang="he-IL" sz="1000" b="0" i="0" u="none" strike="noStrike" baseline="0">
              <a:solidFill>
                <a:srgbClr val="000000"/>
              </a:solidFill>
              <a:latin typeface="Arial"/>
              <a:cs typeface="Arial"/>
            </a:rPr>
            <a:t>על מנת למצוא את הערך המתאים ב</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ניתן להשתמש בתפריט </a:t>
          </a:r>
          <a:r>
            <a:rPr lang="en-US" sz="1000" b="0" i="0" u="none" strike="noStrike" baseline="0">
              <a:solidFill>
                <a:srgbClr val="000000"/>
              </a:solidFill>
              <a:latin typeface="Arial"/>
              <a:cs typeface="Arial"/>
            </a:rPr>
            <a:t>what if analyis</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goal seek</a:t>
          </a:r>
          <a:r>
            <a:rPr lang="he-IL" sz="1000" b="0" i="0" u="none" strike="noStrike" baseline="0">
              <a:solidFill>
                <a:srgbClr val="000000"/>
              </a:solidFill>
              <a:latin typeface="Arial"/>
              <a:cs typeface="Arial"/>
            </a:rPr>
            <a:t> ("חתירה למטרה"). תקבלו את תיבת הדו שיח עם שלוש תיבות. ראשונה - מהו תא המטרה, שנייה - מהו ערך המטרה, שלישית - מהו התא המשתנה. שימו לה שהתשובה ש</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נותן היא בדיוק של 0.001 לאחר שניסה אפשרויות רבות.</a:t>
          </a:r>
        </a:p>
        <a:p>
          <a:pPr algn="r" rtl="1">
            <a:defRPr sz="1000"/>
          </a:pPr>
          <a:r>
            <a:rPr lang="en-US" sz="1000" b="1" i="0" u="sng" strike="noStrike" baseline="0">
              <a:solidFill>
                <a:srgbClr val="000000"/>
              </a:solidFill>
              <a:latin typeface="Arial"/>
              <a:cs typeface="Arial"/>
            </a:rPr>
            <a:t>SOLVER</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בעיה: הנכם מתכננים מסע פרסום למוצר חדש. תקציבכם הכללי הוא 12,000,000 ש"ח. אתם רוצים לחשוף את המוצר לפחות 800,000,000 פעמים לקונים פוטנציאליים. החלטתם לפרסם ב-6 עיתונים. לכל עיתון נתונים שונים של תפוצה ומחירים. עליכם למצוא את הדרך להגיע לכך שהעלות הכללית נהיה נמוכה ככל האפשר.</a:t>
          </a:r>
        </a:p>
        <a:p>
          <a:pPr algn="r" rtl="1">
            <a:defRPr sz="1000"/>
          </a:pPr>
          <a:r>
            <a:rPr lang="he-IL" sz="1000" b="0" i="0" u="none" strike="noStrike" baseline="0">
              <a:solidFill>
                <a:srgbClr val="000000"/>
              </a:solidFill>
              <a:latin typeface="Arial"/>
              <a:cs typeface="Arial"/>
            </a:rPr>
            <a:t>יש לכם </a:t>
          </a:r>
          <a:r>
            <a:rPr lang="he-IL" sz="1000" b="1" i="0" u="none" strike="noStrike" baseline="0">
              <a:solidFill>
                <a:srgbClr val="000000"/>
              </a:solidFill>
              <a:latin typeface="Arial"/>
              <a:cs typeface="Arial"/>
            </a:rPr>
            <a:t>מספר אילוצים</a:t>
          </a:r>
          <a:r>
            <a:rPr lang="he-IL" sz="1000" b="0" i="0" u="none" strike="noStrike" baseline="0">
              <a:solidFill>
                <a:srgbClr val="000000"/>
              </a:solidFill>
              <a:latin typeface="Arial"/>
              <a:cs typeface="Arial"/>
            </a:rPr>
            <a:t>: עליכם לפרסם בכל עיתון לפחות 6 מודעות, אסור לכם להקציב יותר משליש התקציב שאתם מוציאים  לפרסום בעיתון אחד, הסכום המוקצב לפרסום בעיתונים 3 ו 4 לא יעלה על 7,500,000 ש"ח.</a:t>
          </a:r>
        </a:p>
        <a:p>
          <a:pPr algn="r" rtl="1">
            <a:defRPr sz="1000"/>
          </a:pPr>
          <a:r>
            <a:rPr lang="he-IL" sz="1000" b="0" i="0" u="none" strike="noStrike" baseline="0">
              <a:solidFill>
                <a:srgbClr val="000000"/>
              </a:solidFill>
              <a:latin typeface="Arial"/>
              <a:cs typeface="Arial"/>
            </a:rPr>
            <a:t>שימו לב!! לתאים החשובים בגיליון ניתנו שמות.</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600075</xdr:colOff>
      <xdr:row>32</xdr:row>
      <xdr:rowOff>9525</xdr:rowOff>
    </xdr:from>
    <xdr:to>
      <xdr:col>9</xdr:col>
      <xdr:colOff>590550</xdr:colOff>
      <xdr:row>39</xdr:row>
      <xdr:rowOff>66675</xdr:rowOff>
    </xdr:to>
    <xdr:sp macro="" textlink="">
      <xdr:nvSpPr>
        <xdr:cNvPr id="21506" name="Text Box 2">
          <a:extLst>
            <a:ext uri="{FF2B5EF4-FFF2-40B4-BE49-F238E27FC236}">
              <a16:creationId xmlns:a16="http://schemas.microsoft.com/office/drawing/2014/main" id="{00000000-0008-0000-0A00-000002540000}"/>
            </a:ext>
          </a:extLst>
        </xdr:cNvPr>
        <xdr:cNvSpPr txBox="1">
          <a:spLocks noChangeArrowheads="1"/>
        </xdr:cNvSpPr>
      </xdr:nvSpPr>
      <xdr:spPr bwMode="auto">
        <a:xfrm>
          <a:off x="9981609450" y="5676900"/>
          <a:ext cx="6257925" cy="1190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אם אין לכם </a:t>
          </a:r>
          <a:r>
            <a:rPr lang="en-US" sz="1000" b="0" i="0" u="none" strike="noStrike" baseline="0">
              <a:solidFill>
                <a:srgbClr val="000000"/>
              </a:solidFill>
              <a:latin typeface="Arial"/>
              <a:cs typeface="Arial"/>
            </a:rPr>
            <a:t>solver</a:t>
          </a:r>
          <a:r>
            <a:rPr lang="he-IL" sz="1000" b="0" i="0" u="none" strike="noStrike" baseline="0">
              <a:solidFill>
                <a:srgbClr val="000000"/>
              </a:solidFill>
              <a:latin typeface="Arial"/>
              <a:cs typeface="Arial"/>
            </a:rPr>
            <a:t>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 בצעו את מה שכתוב בתיבה שמשמאל.</a:t>
          </a:r>
        </a:p>
        <a:p>
          <a:pPr algn="r" rtl="1">
            <a:defRPr sz="1000"/>
          </a:pPr>
          <a:r>
            <a:rPr lang="he-IL" sz="1000" b="0" i="0" u="none" strike="noStrike" baseline="0">
              <a:solidFill>
                <a:srgbClr val="000000"/>
              </a:solidFill>
              <a:latin typeface="Arial"/>
              <a:cs typeface="Arial"/>
            </a:rPr>
            <a:t>שמרו את מצב הגיליון המקורי כתרחיש ובסוף כל פיתרון שמרו אותו כתרחיש.</a:t>
          </a:r>
        </a:p>
        <a:p>
          <a:pPr algn="r" rtl="1">
            <a:defRPr sz="1000"/>
          </a:pPr>
          <a:r>
            <a:rPr lang="he-IL" sz="1000" b="0" i="0" u="none" strike="noStrike" baseline="0">
              <a:solidFill>
                <a:srgbClr val="000000"/>
              </a:solidFill>
              <a:latin typeface="Arial"/>
              <a:cs typeface="Arial"/>
            </a:rPr>
            <a:t>1. על מנת לפתור בעיה זו יש להשתמש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SOLVER. </a:t>
          </a:r>
          <a:r>
            <a:rPr lang="he-IL" sz="1000" b="0" i="0" u="none" strike="noStrike" baseline="0">
              <a:solidFill>
                <a:srgbClr val="000000"/>
              </a:solidFill>
              <a:latin typeface="Arial"/>
              <a:cs typeface="Arial"/>
            </a:rPr>
            <a:t>תקבלו את תיבת הדו שיח </a:t>
          </a:r>
          <a:r>
            <a:rPr lang="en-US" sz="1000" b="0" i="0" u="none" strike="noStrike" baseline="0">
              <a:solidFill>
                <a:srgbClr val="000000"/>
              </a:solidFill>
              <a:latin typeface="Arial"/>
              <a:cs typeface="Arial"/>
            </a:rPr>
            <a:t>Solver Parameters </a:t>
          </a:r>
          <a:r>
            <a:rPr lang="he-IL" sz="1000" b="0" i="0" u="none" strike="noStrike" baseline="0">
              <a:solidFill>
                <a:srgbClr val="000000"/>
              </a:solidFill>
              <a:latin typeface="Arial"/>
              <a:cs typeface="Arial"/>
            </a:rPr>
            <a:t>שבה ישנן שלוש תיבות עריכה - על מנת לרשום את המטרה, התאים המשתנים בבעיה והאילוצים.</a:t>
          </a:r>
        </a:p>
        <a:p>
          <a:pPr algn="r" rtl="1">
            <a:defRPr sz="1000"/>
          </a:pPr>
          <a:r>
            <a:rPr lang="he-IL" sz="1000" b="0" i="0" u="none" strike="noStrike" baseline="0">
              <a:solidFill>
                <a:srgbClr val="000000"/>
              </a:solidFill>
              <a:latin typeface="Arial"/>
              <a:cs typeface="Arial"/>
            </a:rPr>
            <a:t>בתיבה הראשונה נרשום שמטרתנו היא שהעלות הכללית תרד ל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ולכן עלינו לסמן גם בכפתורי הרדיו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התאים המשתנים במקרה שלנו הם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ויש גם להוסיף לרשימת האילוצים את כל האילוצים.</a:t>
          </a:r>
        </a:p>
        <a:p>
          <a:pPr algn="r" rtl="1">
            <a:defRPr sz="1000"/>
          </a:pPr>
          <a:r>
            <a:rPr lang="he-IL" sz="1000" b="0" i="0" u="none" strike="noStrike" baseline="0">
              <a:solidFill>
                <a:srgbClr val="000000"/>
              </a:solidFill>
              <a:latin typeface="Arial"/>
              <a:cs typeface="Arial"/>
            </a:rPr>
            <a:t>2. לאחר הפיתרון תקבלו על הגיליון פיתרון של כמות מודעות שאינה מספר שלם. יש להוסיף אילוץ שלמים על טווח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ולפתור מחדש את הבעיה. שימו לב שהבעיה נעשית קשה הרבה יותר.</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10</xdr:col>
      <xdr:colOff>485775</xdr:colOff>
      <xdr:row>29</xdr:row>
      <xdr:rowOff>57151</xdr:rowOff>
    </xdr:from>
    <xdr:to>
      <xdr:col>17</xdr:col>
      <xdr:colOff>95250</xdr:colOff>
      <xdr:row>36</xdr:row>
      <xdr:rowOff>76200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9977227950" y="5238751"/>
          <a:ext cx="3876675" cy="1152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l" rtl="0"/>
          <a:r>
            <a:rPr lang="en-US" sz="1100" b="0" i="0">
              <a:solidFill>
                <a:schemeClr val="dk1"/>
              </a:solidFill>
              <a:latin typeface="+mn-lt"/>
              <a:ea typeface="+mn-ea"/>
              <a:cs typeface="+mn-cs"/>
            </a:rPr>
            <a:t>If the </a:t>
          </a:r>
          <a:r>
            <a:rPr lang="en-US" sz="1100" b="1" i="0">
              <a:solidFill>
                <a:schemeClr val="dk1"/>
              </a:solidFill>
              <a:latin typeface="+mn-lt"/>
              <a:ea typeface="+mn-ea"/>
              <a:cs typeface="+mn-cs"/>
            </a:rPr>
            <a:t>Solver</a:t>
          </a:r>
          <a:r>
            <a:rPr lang="en-US" sz="1100" b="0" i="0">
              <a:solidFill>
                <a:schemeClr val="dk1"/>
              </a:solidFill>
              <a:latin typeface="+mn-lt"/>
              <a:ea typeface="+mn-ea"/>
              <a:cs typeface="+mn-cs"/>
            </a:rPr>
            <a:t> button does not appear on the </a:t>
          </a:r>
          <a:r>
            <a:rPr lang="en-US" sz="1100" b="1" i="0">
              <a:solidFill>
                <a:schemeClr val="dk1"/>
              </a:solidFill>
              <a:latin typeface="+mn-lt"/>
              <a:ea typeface="+mn-ea"/>
              <a:cs typeface="+mn-cs"/>
            </a:rPr>
            <a:t>Data</a:t>
          </a:r>
          <a:r>
            <a:rPr lang="en-US" sz="1100" b="0" i="0">
              <a:solidFill>
                <a:schemeClr val="dk1"/>
              </a:solidFill>
              <a:latin typeface="+mn-lt"/>
              <a:ea typeface="+mn-ea"/>
              <a:cs typeface="+mn-cs"/>
            </a:rPr>
            <a:t>tab on the Ribbon, click the </a:t>
          </a:r>
          <a:r>
            <a:rPr lang="en-US" sz="1100" b="1" i="0">
              <a:solidFill>
                <a:schemeClr val="dk1"/>
              </a:solidFill>
              <a:latin typeface="+mn-lt"/>
              <a:ea typeface="+mn-ea"/>
              <a:cs typeface="+mn-cs"/>
            </a:rPr>
            <a:t>Microsoft Office Button</a:t>
          </a:r>
          <a:r>
            <a:rPr lang="en-US" sz="1100" b="0" i="0">
              <a:solidFill>
                <a:schemeClr val="dk1"/>
              </a:solidFill>
              <a:latin typeface="+mn-lt"/>
              <a:ea typeface="+mn-ea"/>
              <a:cs typeface="+mn-cs"/>
            </a:rPr>
            <a:t>, </a:t>
          </a:r>
          <a:r>
            <a:rPr lang="en-US" sz="1100" b="1" i="0">
              <a:solidFill>
                <a:schemeClr val="dk1"/>
              </a:solidFill>
              <a:latin typeface="+mn-lt"/>
              <a:ea typeface="+mn-ea"/>
              <a:cs typeface="+mn-cs"/>
            </a:rPr>
            <a:t>Excel Options</a:t>
          </a:r>
          <a:r>
            <a:rPr lang="en-US" sz="1100" b="0" i="0">
              <a:solidFill>
                <a:schemeClr val="dk1"/>
              </a:solidFill>
              <a:latin typeface="+mn-lt"/>
              <a:ea typeface="+mn-ea"/>
              <a:cs typeface="+mn-cs"/>
            </a:rPr>
            <a:t>, </a:t>
          </a:r>
          <a:r>
            <a:rPr lang="en-US" sz="1100" b="1" i="0">
              <a:solidFill>
                <a:schemeClr val="dk1"/>
              </a:solidFill>
              <a:latin typeface="+mn-lt"/>
              <a:ea typeface="+mn-ea"/>
              <a:cs typeface="+mn-cs"/>
            </a:rPr>
            <a:t>Add-Ins</a:t>
          </a:r>
          <a:r>
            <a:rPr lang="en-US" sz="1100" b="0" i="0">
              <a:solidFill>
                <a:schemeClr val="dk1"/>
              </a:solidFill>
              <a:latin typeface="+mn-lt"/>
              <a:ea typeface="+mn-ea"/>
              <a:cs typeface="+mn-cs"/>
            </a:rPr>
            <a:t>category, and then click the </a:t>
          </a:r>
          <a:r>
            <a:rPr lang="en-US" sz="1100" b="1" i="0">
              <a:solidFill>
                <a:schemeClr val="dk1"/>
              </a:solidFill>
              <a:latin typeface="+mn-lt"/>
              <a:ea typeface="+mn-ea"/>
              <a:cs typeface="+mn-cs"/>
            </a:rPr>
            <a:t>Go</a:t>
          </a:r>
          <a:r>
            <a:rPr lang="en-US" sz="1100" b="0" i="0">
              <a:solidFill>
                <a:schemeClr val="dk1"/>
              </a:solidFill>
              <a:latin typeface="+mn-lt"/>
              <a:ea typeface="+mn-ea"/>
              <a:cs typeface="+mn-cs"/>
            </a:rPr>
            <a:t> button. Then select the </a:t>
          </a:r>
          <a:r>
            <a:rPr lang="en-US" sz="1100" b="1" i="0">
              <a:solidFill>
                <a:schemeClr val="dk1"/>
              </a:solidFill>
              <a:latin typeface="+mn-lt"/>
              <a:ea typeface="+mn-ea"/>
              <a:cs typeface="+mn-cs"/>
            </a:rPr>
            <a:t>Solver Add-In</a:t>
          </a:r>
          <a:r>
            <a:rPr lang="en-US" sz="1100" b="0" i="0">
              <a:solidFill>
                <a:schemeClr val="dk1"/>
              </a:solidFill>
              <a:latin typeface="+mn-lt"/>
              <a:ea typeface="+mn-ea"/>
              <a:cs typeface="+mn-cs"/>
            </a:rPr>
            <a:t> check box, and click </a:t>
          </a:r>
          <a:r>
            <a:rPr lang="en-US" sz="1100" b="1" i="0">
              <a:solidFill>
                <a:schemeClr val="dk1"/>
              </a:solidFill>
              <a:latin typeface="+mn-lt"/>
              <a:ea typeface="+mn-ea"/>
              <a:cs typeface="+mn-cs"/>
            </a:rPr>
            <a:t>OK</a:t>
          </a:r>
          <a:r>
            <a:rPr lang="en-US" sz="1100" b="0" i="0">
              <a:solidFill>
                <a:schemeClr val="dk1"/>
              </a:solidFill>
              <a:latin typeface="+mn-lt"/>
              <a:ea typeface="+mn-ea"/>
              <a:cs typeface="+mn-cs"/>
            </a:rPr>
            <a:t> to install it. Click </a:t>
          </a:r>
          <a:r>
            <a:rPr lang="en-US" sz="1100" b="1" i="0">
              <a:solidFill>
                <a:schemeClr val="dk1"/>
              </a:solidFill>
              <a:latin typeface="+mn-lt"/>
              <a:ea typeface="+mn-ea"/>
              <a:cs typeface="+mn-cs"/>
            </a:rPr>
            <a:t>Yes</a:t>
          </a:r>
          <a:r>
            <a:rPr lang="en-US" sz="1100" b="0" i="0">
              <a:solidFill>
                <a:schemeClr val="dk1"/>
              </a:solidFill>
              <a:latin typeface="+mn-lt"/>
              <a:ea typeface="+mn-ea"/>
              <a:cs typeface="+mn-cs"/>
            </a:rPr>
            <a:t> to confirm that you want to install the Solver add-in.</a:t>
          </a:r>
          <a:endParaRPr lang="en-US" sz="1100"/>
        </a:p>
      </xdr:txBody>
    </xdr:sp>
    <xdr:clientData/>
  </xdr:twoCellAnchor>
  <xdr:twoCellAnchor>
    <xdr:from>
      <xdr:col>6</xdr:col>
      <xdr:colOff>114299</xdr:colOff>
      <xdr:row>30</xdr:row>
      <xdr:rowOff>142875</xdr:rowOff>
    </xdr:from>
    <xdr:to>
      <xdr:col>11</xdr:col>
      <xdr:colOff>28574</xdr:colOff>
      <xdr:row>31</xdr:row>
      <xdr:rowOff>38100</xdr:rowOff>
    </xdr:to>
    <xdr:cxnSp macro="">
      <xdr:nvCxnSpPr>
        <xdr:cNvPr id="6" name="Straight Arrow Connector 5">
          <a:extLst>
            <a:ext uri="{FF2B5EF4-FFF2-40B4-BE49-F238E27FC236}">
              <a16:creationId xmlns:a16="http://schemas.microsoft.com/office/drawing/2014/main" id="{00000000-0008-0000-0A00-000006000000}"/>
            </a:ext>
          </a:extLst>
        </xdr:cNvPr>
        <xdr:cNvCxnSpPr/>
      </xdr:nvCxnSpPr>
      <xdr:spPr bwMode="auto">
        <a:xfrm rot="10800000" flipV="1">
          <a:off x="9980952226" y="5486400"/>
          <a:ext cx="3152775" cy="571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15</xdr:row>
      <xdr:rowOff>0</xdr:rowOff>
    </xdr:from>
    <xdr:to>
      <xdr:col>9</xdr:col>
      <xdr:colOff>600075</xdr:colOff>
      <xdr:row>19</xdr:row>
      <xdr:rowOff>152400</xdr:rowOff>
    </xdr:to>
    <xdr:sp macro="" textlink="">
      <xdr:nvSpPr>
        <xdr:cNvPr id="22529" name="Text Box 1">
          <a:extLst>
            <a:ext uri="{FF2B5EF4-FFF2-40B4-BE49-F238E27FC236}">
              <a16:creationId xmlns:a16="http://schemas.microsoft.com/office/drawing/2014/main" id="{00000000-0008-0000-0B00-000001580000}"/>
            </a:ext>
          </a:extLst>
        </xdr:cNvPr>
        <xdr:cNvSpPr txBox="1">
          <a:spLocks noChangeArrowheads="1"/>
        </xdr:cNvSpPr>
      </xdr:nvSpPr>
      <xdr:spPr bwMode="auto">
        <a:xfrm>
          <a:off x="149971125" y="2647950"/>
          <a:ext cx="5905500" cy="8001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פונקציה מותאמת אישית:</a:t>
          </a:r>
        </a:p>
        <a:p>
          <a:pPr algn="r" rtl="1">
            <a:defRPr sz="1000"/>
          </a:pPr>
          <a:r>
            <a:rPr lang="he-IL" sz="1000" b="0" i="0" u="none" strike="noStrike" baseline="0">
              <a:solidFill>
                <a:srgbClr val="000000"/>
              </a:solidFill>
              <a:latin typeface="Arial"/>
              <a:cs typeface="Arial"/>
            </a:rPr>
            <a:t>לפניכם טופס הזמנה לדוגמא של משתלה. יש להתשמש בפונקציה אשר מחשבת את ההנחה על ההזמנה של %10 בתנאי שהוזמנו מעל 100 פריטים. היות ואין פונקציה כזו ב</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ניתן להשתמש בפונקציה מותאמת אישית.</a:t>
          </a:r>
        </a:p>
        <a:p>
          <a:pPr algn="r" rtl="1">
            <a:defRPr sz="1000"/>
          </a:pPr>
          <a:r>
            <a:rPr lang="he-IL" sz="1000" b="0" i="0" u="none" strike="noStrike" baseline="0">
              <a:solidFill>
                <a:srgbClr val="000000"/>
              </a:solidFill>
              <a:latin typeface="Arial"/>
              <a:cs typeface="Arial"/>
            </a:rPr>
            <a:t>1. גשו לתפריט </a:t>
          </a:r>
          <a:r>
            <a:rPr lang="en-US" sz="1000" b="0" i="0" u="none" strike="noStrike" baseline="0">
              <a:solidFill>
                <a:srgbClr val="000000"/>
              </a:solidFill>
              <a:latin typeface="Arial"/>
              <a:cs typeface="Arial"/>
            </a:rPr>
            <a:t>format</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macros</a:t>
          </a:r>
          <a:r>
            <a:rPr lang="he-IL" sz="1000" b="0" i="0" u="none" strike="noStrike" baseline="0">
              <a:solidFill>
                <a:srgbClr val="000000"/>
              </a:solidFill>
              <a:latin typeface="Arial"/>
              <a:cs typeface="Arial"/>
            </a:rPr>
            <a:t>כלים&gt;מאקרו&gt; ולחצו על </a:t>
          </a:r>
          <a:r>
            <a:rPr lang="en-US" sz="1000" b="0" i="0" u="none" strike="noStrike" baseline="0">
              <a:solidFill>
                <a:srgbClr val="000000"/>
              </a:solidFill>
              <a:latin typeface="Arial"/>
              <a:cs typeface="Arial"/>
            </a:rPr>
            <a:t>edit</a:t>
          </a:r>
          <a:r>
            <a:rPr lang="he-IL" sz="1000" b="0" i="0" u="none" strike="noStrike" baseline="0">
              <a:solidFill>
                <a:srgbClr val="000000"/>
              </a:solidFill>
              <a:latin typeface="Arial"/>
              <a:cs typeface="Arial"/>
            </a:rPr>
            <a:t>. גשו לתפריט </a:t>
          </a:r>
          <a:r>
            <a:rPr lang="en-US" sz="1000" b="0" i="0" u="none" strike="noStrike" baseline="0">
              <a:solidFill>
                <a:srgbClr val="000000"/>
              </a:solidFill>
              <a:latin typeface="Arial"/>
              <a:cs typeface="Arial"/>
            </a:rPr>
            <a:t>Insert&gt;Module </a:t>
          </a:r>
          <a:r>
            <a:rPr lang="he-IL" sz="1000" b="0" i="0" u="none" strike="noStrike" baseline="0">
              <a:solidFill>
                <a:srgbClr val="000000"/>
              </a:solidFill>
              <a:latin typeface="Arial"/>
              <a:cs typeface="Arial"/>
            </a:rPr>
            <a:t>ויפתח לכם מודול ריק בו תרשמו את הפונקציה המותאמת אישית הבאה(ניתן לבצע זאת במהירות ע"י העתקה והדבקה):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0</xdr:colOff>
      <xdr:row>19</xdr:row>
      <xdr:rowOff>152400</xdr:rowOff>
    </xdr:from>
    <xdr:to>
      <xdr:col>9</xdr:col>
      <xdr:colOff>600075</xdr:colOff>
      <xdr:row>27</xdr:row>
      <xdr:rowOff>0</xdr:rowOff>
    </xdr:to>
    <xdr:sp macro="" textlink="">
      <xdr:nvSpPr>
        <xdr:cNvPr id="22530" name="Text Box 2">
          <a:extLst>
            <a:ext uri="{FF2B5EF4-FFF2-40B4-BE49-F238E27FC236}">
              <a16:creationId xmlns:a16="http://schemas.microsoft.com/office/drawing/2014/main" id="{00000000-0008-0000-0B00-000002580000}"/>
            </a:ext>
          </a:extLst>
        </xdr:cNvPr>
        <xdr:cNvSpPr txBox="1">
          <a:spLocks noChangeArrowheads="1"/>
        </xdr:cNvSpPr>
      </xdr:nvSpPr>
      <xdr:spPr bwMode="auto">
        <a:xfrm>
          <a:off x="149971125" y="3448050"/>
          <a:ext cx="5905500" cy="1143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Function discount(quant, price)</a:t>
          </a:r>
        </a:p>
        <a:p>
          <a:pPr algn="l" rtl="0">
            <a:defRPr sz="1000"/>
          </a:pPr>
          <a:r>
            <a:rPr lang="en-US" sz="1000" b="0" i="0" u="none" strike="noStrike" baseline="0">
              <a:solidFill>
                <a:srgbClr val="000000"/>
              </a:solidFill>
              <a:latin typeface="Arial"/>
              <a:cs typeface="Arial"/>
            </a:rPr>
            <a:t>    If quant &gt;= 100 Then</a:t>
          </a:r>
        </a:p>
        <a:p>
          <a:pPr algn="l" rtl="0">
            <a:defRPr sz="1000"/>
          </a:pPr>
          <a:r>
            <a:rPr lang="en-US" sz="1000" b="0" i="0" u="none" strike="noStrike" baseline="0">
              <a:solidFill>
                <a:srgbClr val="000000"/>
              </a:solidFill>
              <a:latin typeface="Arial"/>
              <a:cs typeface="Arial"/>
            </a:rPr>
            <a:t>        discount = quant * price * 0.1</a:t>
          </a:r>
        </a:p>
        <a:p>
          <a:pPr algn="l" rtl="0">
            <a:defRPr sz="1000"/>
          </a:pPr>
          <a:r>
            <a:rPr lang="en-US" sz="1000" b="0" i="0" u="none" strike="noStrike" baseline="0">
              <a:solidFill>
                <a:srgbClr val="000000"/>
              </a:solidFill>
              <a:latin typeface="Arial"/>
              <a:cs typeface="Arial"/>
            </a:rPr>
            <a:t>    Else</a:t>
          </a:r>
        </a:p>
        <a:p>
          <a:pPr algn="l" rtl="0">
            <a:defRPr sz="1000"/>
          </a:pPr>
          <a:r>
            <a:rPr lang="en-US" sz="1000" b="0" i="0" u="none" strike="noStrike" baseline="0">
              <a:solidFill>
                <a:srgbClr val="000000"/>
              </a:solidFill>
              <a:latin typeface="Arial"/>
              <a:cs typeface="Arial"/>
            </a:rPr>
            <a:t>        discount = 0</a:t>
          </a:r>
        </a:p>
        <a:p>
          <a:pPr algn="l" rtl="0">
            <a:defRPr sz="1000"/>
          </a:pPr>
          <a:r>
            <a:rPr lang="en-US" sz="1000" b="0" i="0" u="none" strike="noStrike" baseline="0">
              <a:solidFill>
                <a:srgbClr val="000000"/>
              </a:solidFill>
              <a:latin typeface="Arial"/>
              <a:cs typeface="Arial"/>
            </a:rPr>
            <a:t>    End If</a:t>
          </a:r>
        </a:p>
        <a:p>
          <a:pPr algn="l" rtl="0">
            <a:defRPr sz="1000"/>
          </a:pPr>
          <a:r>
            <a:rPr lang="en-US" sz="1000" b="0" i="0" u="none" strike="noStrike" baseline="0">
              <a:solidFill>
                <a:srgbClr val="000000"/>
              </a:solidFill>
              <a:latin typeface="Arial"/>
              <a:cs typeface="Arial"/>
            </a:rPr>
            <a:t>End Function</a:t>
          </a:r>
        </a:p>
      </xdr:txBody>
    </xdr:sp>
    <xdr:clientData/>
  </xdr:twoCellAnchor>
  <xdr:twoCellAnchor>
    <xdr:from>
      <xdr:col>1</xdr:col>
      <xdr:colOff>0</xdr:colOff>
      <xdr:row>27</xdr:row>
      <xdr:rowOff>0</xdr:rowOff>
    </xdr:from>
    <xdr:to>
      <xdr:col>9</xdr:col>
      <xdr:colOff>600075</xdr:colOff>
      <xdr:row>35</xdr:row>
      <xdr:rowOff>38100</xdr:rowOff>
    </xdr:to>
    <xdr:sp macro="" textlink="">
      <xdr:nvSpPr>
        <xdr:cNvPr id="22531" name="Text Box 3">
          <a:extLst>
            <a:ext uri="{FF2B5EF4-FFF2-40B4-BE49-F238E27FC236}">
              <a16:creationId xmlns:a16="http://schemas.microsoft.com/office/drawing/2014/main" id="{00000000-0008-0000-0B00-000003580000}"/>
            </a:ext>
          </a:extLst>
        </xdr:cNvPr>
        <xdr:cNvSpPr txBox="1">
          <a:spLocks noChangeArrowheads="1"/>
        </xdr:cNvSpPr>
      </xdr:nvSpPr>
      <xdr:spPr bwMode="auto">
        <a:xfrm>
          <a:off x="149971125" y="4591050"/>
          <a:ext cx="5905500" cy="13335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סגרו את חלון </a:t>
          </a:r>
          <a:r>
            <a:rPr lang="en-US" sz="1000" b="0" i="0" u="none" strike="noStrike" baseline="0">
              <a:solidFill>
                <a:srgbClr val="000000"/>
              </a:solidFill>
              <a:latin typeface="Arial"/>
              <a:cs typeface="Arial"/>
            </a:rPr>
            <a:t>Visual Basic Editor </a:t>
          </a:r>
          <a:r>
            <a:rPr lang="he-IL" sz="1000" b="0" i="0" u="none" strike="noStrike" baseline="0">
              <a:solidFill>
                <a:srgbClr val="000000"/>
              </a:solidFill>
              <a:latin typeface="Arial"/>
              <a:cs typeface="Arial"/>
            </a:rPr>
            <a:t>. יצרתם פונקציה חדשה בספר הגיליון שלכם בשם </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פתחו את אשף הפונקציות בתא </a:t>
          </a:r>
          <a:r>
            <a:rPr lang="en-US" sz="1000" b="0" i="0" u="none" strike="noStrike" baseline="0">
              <a:solidFill>
                <a:srgbClr val="000000"/>
              </a:solidFill>
              <a:latin typeface="Arial"/>
              <a:cs typeface="Arial"/>
            </a:rPr>
            <a:t>E6 . </a:t>
          </a:r>
          <a:r>
            <a:rPr lang="he-IL" sz="1000" b="0" i="0" u="none" strike="noStrike" baseline="0">
              <a:solidFill>
                <a:srgbClr val="000000"/>
              </a:solidFill>
              <a:latin typeface="Arial"/>
              <a:cs typeface="Arial"/>
            </a:rPr>
            <a:t>גשו ל </a:t>
          </a:r>
          <a:r>
            <a:rPr lang="en-US" sz="1000" b="0" i="0" u="none" strike="noStrike" baseline="0">
              <a:solidFill>
                <a:srgbClr val="000000"/>
              </a:solidFill>
              <a:latin typeface="Arial"/>
              <a:cs typeface="Arial"/>
            </a:rPr>
            <a:t>formulas</a:t>
          </a:r>
          <a:r>
            <a:rPr lang="he-IL" sz="1000" b="0" i="0" u="none" strike="noStrike" baseline="0">
              <a:solidFill>
                <a:srgbClr val="000000"/>
              </a:solidFill>
              <a:latin typeface="Arial"/>
              <a:cs typeface="Arial"/>
            </a:rPr>
            <a:t>&gt; </a:t>
          </a:r>
          <a:r>
            <a:rPr lang="en-US" sz="1000" b="0" i="0" u="none" strike="noStrike" baseline="0">
              <a:solidFill>
                <a:srgbClr val="000000"/>
              </a:solidFill>
              <a:latin typeface="Arial"/>
              <a:cs typeface="Arial"/>
            </a:rPr>
            <a:t>insert function</a:t>
          </a:r>
          <a:r>
            <a:rPr lang="he-IL" sz="1000" b="0" i="0" u="none" strike="noStrike" baseline="0">
              <a:solidFill>
                <a:srgbClr val="000000"/>
              </a:solidFill>
              <a:latin typeface="Arial"/>
              <a:cs typeface="Arial"/>
            </a:rPr>
            <a:t> &gt; </a:t>
          </a:r>
          <a:r>
            <a:rPr lang="en-US" sz="1000" b="0" i="0" u="none" strike="noStrike" baseline="0">
              <a:solidFill>
                <a:srgbClr val="000000"/>
              </a:solidFill>
              <a:latin typeface="Arial"/>
              <a:cs typeface="Arial"/>
            </a:rPr>
            <a:t>user defined</a:t>
          </a:r>
          <a:r>
            <a:rPr lang="he-IL" sz="1000" b="0" i="0" u="none" strike="noStrike" baseline="0">
              <a:solidFill>
                <a:srgbClr val="000000"/>
              </a:solidFill>
              <a:latin typeface="Arial"/>
              <a:cs typeface="Arial"/>
            </a:rPr>
            <a:t>  וברשימה בחרו את הפונקציה שיצרתם:</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 תנו את הפרמטרים המתאימים ולאחר מכן העתיקו את הפונקציה לאורך כל העמודה הנחה בטופס כמו פונקציה רגילה. עכשיו הטופס נכון ומחשב את ההנחה בצורה נכונה. מלאו את העמודה של "תשובה 1".</a:t>
          </a:r>
        </a:p>
        <a:p>
          <a:pPr algn="r" rtl="1">
            <a:defRPr sz="1000"/>
          </a:pPr>
          <a:r>
            <a:rPr lang="he-IL" sz="1000" b="0" i="0" u="none" strike="noStrike" baseline="0">
              <a:solidFill>
                <a:srgbClr val="000000"/>
              </a:solidFill>
              <a:latin typeface="Arial"/>
              <a:cs typeface="Arial"/>
            </a:rPr>
            <a:t>2. צרו פונקציה נוספת בשם </a:t>
          </a:r>
          <a:r>
            <a:rPr lang="en-US" sz="1000" b="0" i="0" u="none" strike="noStrike" baseline="0">
              <a:solidFill>
                <a:srgbClr val="000000"/>
              </a:solidFill>
              <a:latin typeface="Arial"/>
              <a:cs typeface="Arial"/>
            </a:rPr>
            <a:t>discountPrice</a:t>
          </a:r>
        </a:p>
        <a:p>
          <a:pPr algn="r" rtl="1">
            <a:defRPr sz="1000"/>
          </a:pPr>
          <a:r>
            <a:rPr lang="he-IL" sz="1000" b="0" i="0" u="none" strike="noStrike" baseline="0">
              <a:solidFill>
                <a:srgbClr val="000000"/>
              </a:solidFill>
              <a:latin typeface="Arial"/>
              <a:cs typeface="Arial"/>
            </a:rPr>
            <a:t>כללי ההנחה הם כדלקמן - </a:t>
          </a:r>
        </a:p>
        <a:p>
          <a:pPr algn="r" rtl="1">
            <a:defRPr sz="1000"/>
          </a:pPr>
          <a:r>
            <a:rPr lang="he-IL" sz="1000" b="0" i="0" u="none" strike="noStrike" baseline="0">
              <a:solidFill>
                <a:srgbClr val="000000"/>
              </a:solidFill>
              <a:latin typeface="Arial"/>
              <a:cs typeface="Arial"/>
            </a:rPr>
            <a:t>אם מחיר הפריט הוא מעל 50 ש"ח וגם הכמות היא מעל 50 פריטים, אזי ההנחה הכוללת היא כ 15 אחוז.</a:t>
          </a:r>
        </a:p>
        <a:p>
          <a:pPr algn="r" rtl="1">
            <a:defRPr sz="1000"/>
          </a:pPr>
          <a:r>
            <a:rPr lang="he-IL" sz="1000" b="0" i="0" u="none" strike="noStrike" baseline="0">
              <a:solidFill>
                <a:srgbClr val="000000"/>
              </a:solidFill>
              <a:latin typeface="Arial"/>
              <a:cs typeface="Arial"/>
            </a:rPr>
            <a:t>כתבו את התשובה תחת העמודה של "תשובה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
  <sheetViews>
    <sheetView rightToLeft="1" zoomScale="75" workbookViewId="0">
      <selection activeCell="B7" sqref="B7"/>
    </sheetView>
  </sheetViews>
  <sheetFormatPr defaultColWidth="9.21875" defaultRowHeight="15" x14ac:dyDescent="0.25"/>
  <cols>
    <col min="1" max="16384" width="9.21875" style="1"/>
  </cols>
  <sheetData/>
  <phoneticPr fontId="0" type="noConversion"/>
  <pageMargins left="0.75" right="0.75" top="1" bottom="1" header="0.5" footer="0.5"/>
  <pageSetup paperSize="9" orientation="portrait"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2">
    <tabColor theme="5"/>
  </sheetPr>
  <dimension ref="A7:H28"/>
  <sheetViews>
    <sheetView rightToLeft="1" topLeftCell="A2" zoomScaleNormal="100" workbookViewId="0">
      <selection activeCell="H17" sqref="H17"/>
    </sheetView>
  </sheetViews>
  <sheetFormatPr defaultRowHeight="13.2" x14ac:dyDescent="0.25"/>
  <cols>
    <col min="2" max="3" width="20.21875" customWidth="1"/>
    <col min="5" max="5" width="13.21875" bestFit="1" customWidth="1"/>
    <col min="6" max="6" width="12.21875" customWidth="1"/>
    <col min="7" max="7" width="11" bestFit="1" customWidth="1"/>
  </cols>
  <sheetData>
    <row r="7" spans="1:8" ht="13.8" thickBot="1" x14ac:dyDescent="0.3">
      <c r="G7" s="144" t="s">
        <v>8</v>
      </c>
      <c r="H7" s="144" t="s">
        <v>9</v>
      </c>
    </row>
    <row r="8" spans="1:8" ht="13.8" thickTop="1" x14ac:dyDescent="0.25">
      <c r="A8" s="121">
        <v>100</v>
      </c>
      <c r="B8" s="122">
        <v>200</v>
      </c>
      <c r="C8" s="123">
        <v>3</v>
      </c>
      <c r="G8" s="142" t="s">
        <v>1</v>
      </c>
      <c r="H8" s="142">
        <f>A8+B8</f>
        <v>300</v>
      </c>
    </row>
    <row r="9" spans="1:8" x14ac:dyDescent="0.25">
      <c r="A9" s="124">
        <v>4</v>
      </c>
      <c r="B9" s="125">
        <v>5.5</v>
      </c>
      <c r="C9" s="126">
        <v>92</v>
      </c>
      <c r="G9" s="132" t="s">
        <v>7</v>
      </c>
      <c r="H9" s="132">
        <f>C8*B9</f>
        <v>16.5</v>
      </c>
    </row>
    <row r="10" spans="1:8" x14ac:dyDescent="0.25">
      <c r="G10" s="132" t="s">
        <v>2</v>
      </c>
      <c r="H10" s="132">
        <f>C9-C8</f>
        <v>89</v>
      </c>
    </row>
    <row r="11" spans="1:8" x14ac:dyDescent="0.25">
      <c r="G11" s="132" t="s">
        <v>3</v>
      </c>
      <c r="H11" s="132">
        <f>B8/A9</f>
        <v>50</v>
      </c>
    </row>
    <row r="12" spans="1:8" x14ac:dyDescent="0.25">
      <c r="G12" s="132" t="s">
        <v>4</v>
      </c>
      <c r="H12" s="132">
        <f>A8+A9+C8</f>
        <v>107</v>
      </c>
    </row>
    <row r="13" spans="1:8" x14ac:dyDescent="0.25">
      <c r="G13" s="132" t="s">
        <v>5</v>
      </c>
      <c r="H13" s="132">
        <f>B8 + A8*C8</f>
        <v>500</v>
      </c>
    </row>
    <row r="14" spans="1:8" x14ac:dyDescent="0.25">
      <c r="G14" s="132" t="s">
        <v>6</v>
      </c>
      <c r="H14" s="132">
        <f>(B8+A8)*C8</f>
        <v>900</v>
      </c>
    </row>
    <row r="15" spans="1:8" x14ac:dyDescent="0.25">
      <c r="G15" s="132" t="s">
        <v>106</v>
      </c>
      <c r="H15" s="132">
        <f>C8^A9</f>
        <v>81</v>
      </c>
    </row>
    <row r="16" spans="1:8" x14ac:dyDescent="0.25">
      <c r="G16" s="132" t="s">
        <v>245</v>
      </c>
      <c r="H16" s="132">
        <f>(C8^A9)*B9</f>
        <v>445.5</v>
      </c>
    </row>
    <row r="17" spans="2:8" x14ac:dyDescent="0.25">
      <c r="H17" s="145"/>
    </row>
    <row r="28" spans="2:8" x14ac:dyDescent="0.25">
      <c r="B28" s="47"/>
      <c r="C28" s="47"/>
      <c r="E28" s="46"/>
      <c r="F28" s="46"/>
      <c r="G28" s="46"/>
      <c r="H28" s="46"/>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5">
    <tabColor theme="3"/>
  </sheetPr>
  <dimension ref="A2:L40"/>
  <sheetViews>
    <sheetView rightToLeft="1" topLeftCell="A3" zoomScale="90" zoomScaleNormal="90" workbookViewId="0">
      <selection activeCell="E31" sqref="E31"/>
    </sheetView>
  </sheetViews>
  <sheetFormatPr defaultColWidth="8.77734375" defaultRowHeight="15" x14ac:dyDescent="0.25"/>
  <cols>
    <col min="1" max="1" width="9.77734375" style="8" customWidth="1"/>
    <col min="2" max="2" width="7.21875" style="8" customWidth="1"/>
    <col min="3" max="3" width="14.21875" style="8" bestFit="1" customWidth="1"/>
    <col min="4" max="4" width="9.21875" style="8" bestFit="1" customWidth="1"/>
    <col min="5" max="5" width="13.77734375" style="8" bestFit="1" customWidth="1"/>
    <col min="6" max="6" width="12.5546875" style="8" bestFit="1" customWidth="1"/>
    <col min="7" max="7" width="12.21875" style="8" customWidth="1"/>
    <col min="8" max="8" width="8.21875" style="8" customWidth="1"/>
    <col min="9" max="9" width="8.21875" style="9" customWidth="1"/>
    <col min="10" max="10" width="11.44140625" style="8" customWidth="1"/>
    <col min="11" max="11" width="10.5546875" style="8" customWidth="1"/>
    <col min="12" max="12" width="9.77734375" style="8" customWidth="1"/>
    <col min="13" max="13" width="11.33203125" style="8" customWidth="1"/>
    <col min="14" max="16384" width="8.77734375" style="8"/>
  </cols>
  <sheetData>
    <row r="2" spans="1:12" ht="27.6" x14ac:dyDescent="0.45">
      <c r="B2" s="118"/>
      <c r="E2" s="152" t="s">
        <v>214</v>
      </c>
      <c r="F2" s="153"/>
      <c r="G2" s="153"/>
      <c r="L2" s="28"/>
    </row>
    <row r="3" spans="1:12" ht="15.6" thickBot="1" x14ac:dyDescent="0.3"/>
    <row r="4" spans="1:12" ht="24" thickTop="1" x14ac:dyDescent="0.25">
      <c r="A4" s="72" t="s">
        <v>10</v>
      </c>
      <c r="B4" s="42" t="s">
        <v>209</v>
      </c>
      <c r="C4" s="42" t="s">
        <v>210</v>
      </c>
      <c r="D4" s="42" t="s">
        <v>211</v>
      </c>
      <c r="E4" s="42" t="s">
        <v>212</v>
      </c>
      <c r="F4" s="42" t="s">
        <v>213</v>
      </c>
      <c r="G4" s="119" t="s">
        <v>215</v>
      </c>
      <c r="H4" s="42" t="s">
        <v>216</v>
      </c>
      <c r="I4" s="73" t="s">
        <v>11</v>
      </c>
      <c r="J4" s="119" t="s">
        <v>221</v>
      </c>
      <c r="K4" s="43" t="s">
        <v>242</v>
      </c>
      <c r="L4"/>
    </row>
    <row r="5" spans="1:12" x14ac:dyDescent="0.25">
      <c r="A5" s="32" t="s">
        <v>222</v>
      </c>
      <c r="B5" s="27">
        <v>100</v>
      </c>
      <c r="C5" s="27">
        <v>90</v>
      </c>
      <c r="D5" s="27">
        <v>92</v>
      </c>
      <c r="E5" s="27">
        <v>93</v>
      </c>
      <c r="F5" s="27">
        <v>89</v>
      </c>
      <c r="G5" s="27">
        <f>COUNTIF(B5:E5,"&gt;55")</f>
        <v>4</v>
      </c>
      <c r="H5" s="27">
        <f>SUMIF(B5:F5,"&gt;55")/COUNTIF(B5:F5,"&gt;55")</f>
        <v>92.8</v>
      </c>
      <c r="I5" s="27" t="str">
        <f>IF(H5&gt;=90,"exelnt",IF(H5&gt;=65,"pass","fail"))</f>
        <v>exelnt</v>
      </c>
      <c r="J5" s="74" t="str">
        <f>IF(I5="exelnt","no",IF(I5="pass","no","yes"))</f>
        <v>no</v>
      </c>
      <c r="K5" s="44">
        <f>SUM(B5*D$35,C5*D$36,D5*D$37,E5*D$38,F5*D$39)</f>
        <v>90.550000000000011</v>
      </c>
      <c r="L5"/>
    </row>
    <row r="6" spans="1:12" x14ac:dyDescent="0.25">
      <c r="A6" s="32" t="s">
        <v>223</v>
      </c>
      <c r="B6" s="27">
        <v>64</v>
      </c>
      <c r="C6" s="27">
        <v>32</v>
      </c>
      <c r="D6" s="27">
        <v>21</v>
      </c>
      <c r="E6" s="27">
        <v>59</v>
      </c>
      <c r="F6" s="27">
        <v>34</v>
      </c>
      <c r="G6" s="27">
        <f t="shared" ref="G6:G10" si="0">COUNTIF(B6:E6,"&gt;55")</f>
        <v>2</v>
      </c>
      <c r="H6" s="27">
        <f t="shared" ref="H6:H10" si="1">SUMIF(B6:F6,"&gt;55")/COUNTIF(B6:F6,"&gt;55")</f>
        <v>61.5</v>
      </c>
      <c r="I6" s="27" t="str">
        <f t="shared" ref="I6:I10" si="2">IF(H6&gt;=90,"exelnt",IF(H6&gt;=65,"pass","fail"))</f>
        <v>fail</v>
      </c>
      <c r="J6" s="74" t="str">
        <f t="shared" ref="J6:J10" si="3">IF(I6="exelnt","no",IF(I6="pass","no","yes"))</f>
        <v>yes</v>
      </c>
      <c r="K6" s="44">
        <f t="shared" ref="K6:K10" si="4">SUM(B6*D$35,C6*D$36,D6*D$37,E6*D$38,F6*D$39)</f>
        <v>33.75</v>
      </c>
      <c r="L6"/>
    </row>
    <row r="7" spans="1:12" x14ac:dyDescent="0.25">
      <c r="A7" s="32" t="s">
        <v>224</v>
      </c>
      <c r="B7" s="27">
        <v>80</v>
      </c>
      <c r="C7" s="27">
        <v>75</v>
      </c>
      <c r="D7" s="27">
        <v>42</v>
      </c>
      <c r="E7" s="27">
        <v>77</v>
      </c>
      <c r="F7" s="27">
        <v>88</v>
      </c>
      <c r="G7" s="27">
        <f t="shared" si="0"/>
        <v>3</v>
      </c>
      <c r="H7" s="27">
        <f t="shared" si="1"/>
        <v>80</v>
      </c>
      <c r="I7" s="27" t="str">
        <f t="shared" si="2"/>
        <v>pass</v>
      </c>
      <c r="J7" s="74" t="str">
        <f t="shared" si="3"/>
        <v>no</v>
      </c>
      <c r="K7" s="44">
        <f t="shared" si="4"/>
        <v>75.25</v>
      </c>
      <c r="L7"/>
    </row>
    <row r="8" spans="1:12" x14ac:dyDescent="0.25">
      <c r="A8" s="32" t="s">
        <v>225</v>
      </c>
      <c r="B8" s="27">
        <v>100</v>
      </c>
      <c r="C8" s="27">
        <v>90</v>
      </c>
      <c r="D8" s="27">
        <v>80</v>
      </c>
      <c r="E8" s="27">
        <v>70</v>
      </c>
      <c r="F8" s="27">
        <v>60</v>
      </c>
      <c r="G8" s="27">
        <f t="shared" si="0"/>
        <v>4</v>
      </c>
      <c r="H8" s="27">
        <f t="shared" si="1"/>
        <v>80</v>
      </c>
      <c r="I8" s="27" t="str">
        <f t="shared" si="2"/>
        <v>pass</v>
      </c>
      <c r="J8" s="74" t="str">
        <f t="shared" si="3"/>
        <v>no</v>
      </c>
      <c r="K8" s="44">
        <f t="shared" si="4"/>
        <v>72.5</v>
      </c>
      <c r="L8"/>
    </row>
    <row r="9" spans="1:12" x14ac:dyDescent="0.25">
      <c r="A9" s="32" t="s">
        <v>12</v>
      </c>
      <c r="B9" s="27">
        <v>88</v>
      </c>
      <c r="C9" s="27">
        <v>74</v>
      </c>
      <c r="D9" s="27">
        <v>78</v>
      </c>
      <c r="E9" s="27">
        <v>92</v>
      </c>
      <c r="F9" s="27">
        <v>75</v>
      </c>
      <c r="G9" s="27">
        <f t="shared" si="0"/>
        <v>4</v>
      </c>
      <c r="H9" s="27">
        <f t="shared" si="1"/>
        <v>81.400000000000006</v>
      </c>
      <c r="I9" s="27" t="str">
        <f t="shared" si="2"/>
        <v>pass</v>
      </c>
      <c r="J9" s="74" t="str">
        <f t="shared" si="3"/>
        <v>no</v>
      </c>
      <c r="K9" s="44">
        <f t="shared" si="4"/>
        <v>76.900000000000006</v>
      </c>
      <c r="L9"/>
    </row>
    <row r="10" spans="1:12" ht="15.6" thickBot="1" x14ac:dyDescent="0.3">
      <c r="A10" s="75" t="s">
        <v>226</v>
      </c>
      <c r="B10" s="45">
        <v>99</v>
      </c>
      <c r="C10" s="45">
        <v>80</v>
      </c>
      <c r="D10" s="45">
        <v>75</v>
      </c>
      <c r="E10" s="45">
        <v>95</v>
      </c>
      <c r="F10" s="45">
        <v>92</v>
      </c>
      <c r="G10" s="27">
        <f t="shared" si="0"/>
        <v>4</v>
      </c>
      <c r="H10" s="27">
        <f t="shared" si="1"/>
        <v>88.2</v>
      </c>
      <c r="I10" s="27" t="str">
        <f t="shared" si="2"/>
        <v>pass</v>
      </c>
      <c r="J10" s="74" t="str">
        <f t="shared" si="3"/>
        <v>no</v>
      </c>
      <c r="K10" s="44">
        <f t="shared" si="4"/>
        <v>86.7</v>
      </c>
      <c r="L10"/>
    </row>
    <row r="11" spans="1:12" ht="15.6" thickTop="1" x14ac:dyDescent="0.25">
      <c r="A11"/>
      <c r="B11"/>
      <c r="C11"/>
      <c r="D11"/>
      <c r="E11"/>
      <c r="F11"/>
      <c r="G11"/>
      <c r="H11"/>
      <c r="I11"/>
      <c r="J11"/>
    </row>
    <row r="28" spans="3:6" ht="15.6" thickBot="1" x14ac:dyDescent="0.3"/>
    <row r="29" spans="3:6" ht="15.6" thickTop="1" x14ac:dyDescent="0.25">
      <c r="C29" s="41"/>
      <c r="D29" s="42" t="s">
        <v>47</v>
      </c>
      <c r="E29" s="42" t="s">
        <v>14</v>
      </c>
      <c r="F29" s="43" t="s">
        <v>15</v>
      </c>
    </row>
    <row r="30" spans="3:6" x14ac:dyDescent="0.25">
      <c r="C30" s="39" t="s">
        <v>16</v>
      </c>
      <c r="D30" s="27">
        <f>COUNTIF(I5:I10,"&lt;&gt;fail")</f>
        <v>5</v>
      </c>
      <c r="E30" s="27">
        <f>COUNTIF(I5:I10,"fail")</f>
        <v>1</v>
      </c>
      <c r="F30" s="44">
        <f>SUM(D30:E30)</f>
        <v>6</v>
      </c>
    </row>
    <row r="31" spans="3:6" ht="15.6" thickBot="1" x14ac:dyDescent="0.3">
      <c r="C31" s="40" t="s">
        <v>17</v>
      </c>
      <c r="D31" s="140">
        <f>D30/F30</f>
        <v>0.83333333333333337</v>
      </c>
      <c r="E31" s="140">
        <f>E30/F30</f>
        <v>0.16666666666666666</v>
      </c>
      <c r="F31" s="140">
        <f>D31+E31</f>
        <v>1</v>
      </c>
    </row>
    <row r="32" spans="3:6" ht="15.6" thickTop="1" x14ac:dyDescent="0.25"/>
    <row r="33" spans="3:8" ht="15.6" thickBot="1" x14ac:dyDescent="0.3"/>
    <row r="34" spans="3:8" ht="15.6" thickTop="1" x14ac:dyDescent="0.25">
      <c r="C34" s="33" t="s">
        <v>45</v>
      </c>
      <c r="D34" s="34" t="s">
        <v>46</v>
      </c>
      <c r="E34" s="35" t="s">
        <v>13</v>
      </c>
    </row>
    <row r="35" spans="3:8" x14ac:dyDescent="0.25">
      <c r="C35" s="29" t="s">
        <v>217</v>
      </c>
      <c r="D35" s="36">
        <v>0.05</v>
      </c>
      <c r="E35" s="129">
        <f>SUM(B5:B10)/ROWS(A5:A10)</f>
        <v>88.5</v>
      </c>
      <c r="F35" s="128"/>
      <c r="G35" s="128"/>
      <c r="H35" s="128"/>
    </row>
    <row r="36" spans="3:8" x14ac:dyDescent="0.25">
      <c r="C36" s="30" t="s">
        <v>218</v>
      </c>
      <c r="D36" s="37">
        <v>0.2</v>
      </c>
      <c r="E36" s="129">
        <f t="shared" ref="E36:E39" si="5">SUM(B6:B11)/ROWS(A6:A11)</f>
        <v>71.833333333333329</v>
      </c>
    </row>
    <row r="37" spans="3:8" x14ac:dyDescent="0.25">
      <c r="C37" s="29" t="s">
        <v>219</v>
      </c>
      <c r="D37" s="36">
        <v>0.2</v>
      </c>
      <c r="E37" s="129">
        <f t="shared" si="5"/>
        <v>61.166666666666664</v>
      </c>
    </row>
    <row r="38" spans="3:8" x14ac:dyDescent="0.25">
      <c r="C38" s="30" t="s">
        <v>220</v>
      </c>
      <c r="D38" s="37">
        <v>0.05</v>
      </c>
      <c r="E38" s="129">
        <f t="shared" si="5"/>
        <v>47.833333333333336</v>
      </c>
    </row>
    <row r="39" spans="3:8" ht="15.6" thickBot="1" x14ac:dyDescent="0.3">
      <c r="C39" s="31" t="s">
        <v>213</v>
      </c>
      <c r="D39" s="38">
        <v>0.5</v>
      </c>
      <c r="E39" s="129">
        <f t="shared" si="5"/>
        <v>31.166666666666668</v>
      </c>
    </row>
    <row r="40" spans="3:8" ht="15.6" thickTop="1" x14ac:dyDescent="0.25"/>
  </sheetData>
  <mergeCells count="1">
    <mergeCell ref="E2:G2"/>
  </mergeCells>
  <phoneticPr fontId="0" type="noConversion"/>
  <pageMargins left="0.75" right="0.75" top="1" bottom="1" header="0.5" footer="0.5"/>
  <pageSetup paperSize="7"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13">
    <tabColor theme="3"/>
  </sheetPr>
  <dimension ref="F6:M41"/>
  <sheetViews>
    <sheetView rightToLeft="1" zoomScaleNormal="100" workbookViewId="0">
      <selection activeCell="M26" sqref="M26"/>
    </sheetView>
  </sheetViews>
  <sheetFormatPr defaultRowHeight="13.2" x14ac:dyDescent="0.25"/>
  <cols>
    <col min="3" max="3" width="14.21875" bestFit="1" customWidth="1"/>
    <col min="5" max="5" width="10.21875" customWidth="1"/>
    <col min="10" max="10" width="10.5546875" bestFit="1" customWidth="1"/>
    <col min="13" max="13" width="15.33203125" bestFit="1" customWidth="1"/>
  </cols>
  <sheetData>
    <row r="6" spans="12:13" ht="13.8" thickBot="1" x14ac:dyDescent="0.3"/>
    <row r="7" spans="12:13" x14ac:dyDescent="0.25">
      <c r="L7" s="92" t="s">
        <v>234</v>
      </c>
      <c r="M7" s="151">
        <f ca="1">NOW()</f>
        <v>43786.819742129628</v>
      </c>
    </row>
    <row r="8" spans="12:13" x14ac:dyDescent="0.25">
      <c r="L8" s="93" t="s">
        <v>235</v>
      </c>
      <c r="M8" s="141">
        <f>TIME(16,31,32)</f>
        <v>0.6885648148148148</v>
      </c>
    </row>
    <row r="9" spans="12:13" x14ac:dyDescent="0.25">
      <c r="L9" s="93" t="s">
        <v>236</v>
      </c>
      <c r="M9" s="149">
        <f ca="1">NOW()</f>
        <v>43786.819742129628</v>
      </c>
    </row>
    <row r="10" spans="12:13" x14ac:dyDescent="0.25">
      <c r="L10" s="93" t="s">
        <v>237</v>
      </c>
      <c r="M10" s="150">
        <f ca="1">TODAY()</f>
        <v>43786</v>
      </c>
    </row>
    <row r="11" spans="12:13" x14ac:dyDescent="0.25">
      <c r="L11" s="93"/>
      <c r="M11" s="88"/>
    </row>
    <row r="12" spans="12:13" ht="13.8" thickBot="1" x14ac:dyDescent="0.3">
      <c r="L12" s="94"/>
      <c r="M12" s="91"/>
    </row>
    <row r="19" spans="6:13" ht="13.8" thickBot="1" x14ac:dyDescent="0.3"/>
    <row r="20" spans="6:13" x14ac:dyDescent="0.25">
      <c r="G20" s="84">
        <v>3.7</v>
      </c>
      <c r="H20" s="85">
        <v>14</v>
      </c>
      <c r="I20" s="85">
        <v>8.5</v>
      </c>
      <c r="J20" s="86">
        <v>5.6</v>
      </c>
      <c r="L20" s="92" t="s">
        <v>107</v>
      </c>
      <c r="M20" s="86">
        <f>MEDIAN(G20:J23)</f>
        <v>7</v>
      </c>
    </row>
    <row r="21" spans="6:13" x14ac:dyDescent="0.25">
      <c r="G21" s="87">
        <v>6.4</v>
      </c>
      <c r="H21" s="50">
        <v>5.7</v>
      </c>
      <c r="I21" s="50">
        <v>6.4</v>
      </c>
      <c r="J21" s="88">
        <v>7.8</v>
      </c>
      <c r="L21" s="93" t="s">
        <v>108</v>
      </c>
      <c r="M21" s="88">
        <f>MODE(G20:J23)</f>
        <v>6.4</v>
      </c>
    </row>
    <row r="22" spans="6:13" x14ac:dyDescent="0.25">
      <c r="G22" s="87">
        <v>11.2</v>
      </c>
      <c r="H22" s="50">
        <v>8.9</v>
      </c>
      <c r="I22" s="50">
        <v>2.9</v>
      </c>
      <c r="J22" s="88">
        <v>5</v>
      </c>
      <c r="L22" s="93" t="s">
        <v>109</v>
      </c>
      <c r="M22" s="88">
        <f>MIN(G20:J23)</f>
        <v>2.9</v>
      </c>
    </row>
    <row r="23" spans="6:13" ht="13.8" thickBot="1" x14ac:dyDescent="0.3">
      <c r="G23" s="89">
        <v>9.5</v>
      </c>
      <c r="H23" s="90">
        <v>8.1999999999999993</v>
      </c>
      <c r="I23" s="90">
        <v>4.5</v>
      </c>
      <c r="J23" s="91">
        <v>7.6</v>
      </c>
      <c r="L23" s="93" t="s">
        <v>110</v>
      </c>
      <c r="M23" s="88">
        <f>MAX(G20:J23)</f>
        <v>14</v>
      </c>
    </row>
    <row r="24" spans="6:13" x14ac:dyDescent="0.25">
      <c r="L24" s="93" t="s">
        <v>68</v>
      </c>
      <c r="M24" s="88">
        <f>VAR(G20:J23)</f>
        <v>8.1706249999999958</v>
      </c>
    </row>
    <row r="25" spans="6:13" ht="13.8" thickBot="1" x14ac:dyDescent="0.3">
      <c r="F25" s="127"/>
      <c r="L25" s="94" t="s">
        <v>111</v>
      </c>
      <c r="M25" s="91">
        <f>STDEV(G20:J23)</f>
        <v>2.8584305134111614</v>
      </c>
    </row>
    <row r="39" spans="10:13" x14ac:dyDescent="0.25">
      <c r="J39" s="48"/>
    </row>
    <row r="40" spans="10:13" x14ac:dyDescent="0.25">
      <c r="J40" s="48"/>
      <c r="L40" s="52"/>
      <c r="M40" s="95"/>
    </row>
    <row r="41" spans="10:13" x14ac:dyDescent="0.25">
      <c r="L41" s="52"/>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7"/>
  </sheetPr>
  <dimension ref="B1:W56"/>
  <sheetViews>
    <sheetView rightToLeft="1" topLeftCell="F5" zoomScaleNormal="100" workbookViewId="0">
      <selection activeCell="L25" sqref="L25"/>
    </sheetView>
  </sheetViews>
  <sheetFormatPr defaultRowHeight="13.2" x14ac:dyDescent="0.25"/>
  <cols>
    <col min="11" max="11" width="12.77734375" customWidth="1"/>
    <col min="18" max="18" width="11.77734375" bestFit="1" customWidth="1"/>
    <col min="19" max="19" width="10.21875" bestFit="1" customWidth="1"/>
    <col min="22" max="22" width="12.44140625" bestFit="1" customWidth="1"/>
  </cols>
  <sheetData>
    <row r="1" spans="2:23" ht="13.8" thickBot="1" x14ac:dyDescent="0.3"/>
    <row r="2" spans="2:23" ht="13.8" thickBot="1" x14ac:dyDescent="0.3">
      <c r="B2" s="130" t="s">
        <v>247</v>
      </c>
      <c r="C2" s="154" t="s">
        <v>246</v>
      </c>
      <c r="D2" s="154"/>
      <c r="E2" s="154"/>
      <c r="F2" s="154"/>
      <c r="G2" s="154"/>
      <c r="H2" s="154"/>
      <c r="I2" s="154"/>
      <c r="J2" s="154"/>
      <c r="K2" s="154"/>
      <c r="L2" s="154"/>
      <c r="M2" s="154"/>
      <c r="N2" s="155"/>
    </row>
    <row r="3" spans="2:23" x14ac:dyDescent="0.25">
      <c r="B3" s="103"/>
      <c r="C3" s="103"/>
      <c r="D3" s="105"/>
      <c r="R3" s="96" t="s">
        <v>141</v>
      </c>
      <c r="S3" s="96" t="s">
        <v>114</v>
      </c>
      <c r="T3" s="96" t="s">
        <v>115</v>
      </c>
      <c r="U3" s="96" t="s">
        <v>116</v>
      </c>
      <c r="V3" s="96" t="s">
        <v>140</v>
      </c>
      <c r="W3" s="96" t="s">
        <v>117</v>
      </c>
    </row>
    <row r="4" spans="2:23" x14ac:dyDescent="0.25">
      <c r="B4" s="103"/>
      <c r="C4" s="103"/>
      <c r="D4" s="105"/>
      <c r="R4">
        <v>1</v>
      </c>
      <c r="S4" t="s">
        <v>142</v>
      </c>
      <c r="T4" t="s">
        <v>118</v>
      </c>
      <c r="U4" t="s">
        <v>65</v>
      </c>
      <c r="V4" t="s">
        <v>119</v>
      </c>
      <c r="W4" s="2">
        <v>489</v>
      </c>
    </row>
    <row r="5" spans="2:23" x14ac:dyDescent="0.25">
      <c r="B5" s="103"/>
      <c r="C5" s="103"/>
      <c r="D5" s="105"/>
      <c r="R5">
        <v>2</v>
      </c>
      <c r="S5" t="s">
        <v>143</v>
      </c>
      <c r="T5" t="s">
        <v>120</v>
      </c>
      <c r="U5" t="s">
        <v>121</v>
      </c>
      <c r="V5" t="s">
        <v>122</v>
      </c>
      <c r="W5" s="2">
        <v>1196</v>
      </c>
    </row>
    <row r="6" spans="2:23" x14ac:dyDescent="0.25">
      <c r="B6" s="103"/>
      <c r="C6" s="103"/>
      <c r="D6" s="105"/>
      <c r="K6" s="106" t="s">
        <v>194</v>
      </c>
      <c r="L6" s="104"/>
      <c r="R6">
        <v>3</v>
      </c>
      <c r="S6" t="s">
        <v>144</v>
      </c>
      <c r="T6" t="s">
        <v>123</v>
      </c>
      <c r="U6" t="s">
        <v>63</v>
      </c>
      <c r="V6" t="s">
        <v>124</v>
      </c>
      <c r="W6" s="2">
        <v>214</v>
      </c>
    </row>
    <row r="7" spans="2:23" x14ac:dyDescent="0.25">
      <c r="B7" s="103">
        <v>1</v>
      </c>
      <c r="C7" s="103"/>
      <c r="D7" s="105"/>
      <c r="K7" s="106"/>
      <c r="L7" s="104"/>
      <c r="R7">
        <v>4</v>
      </c>
      <c r="S7" t="s">
        <v>145</v>
      </c>
      <c r="T7" t="s">
        <v>120</v>
      </c>
      <c r="U7" t="s">
        <v>125</v>
      </c>
      <c r="V7" t="s">
        <v>126</v>
      </c>
      <c r="W7" s="2">
        <v>266</v>
      </c>
    </row>
    <row r="8" spans="2:23" ht="13.8" thickBot="1" x14ac:dyDescent="0.3">
      <c r="B8" s="103"/>
      <c r="C8" s="103"/>
      <c r="D8" s="105"/>
      <c r="J8">
        <v>1</v>
      </c>
      <c r="K8" s="26" t="s">
        <v>197</v>
      </c>
      <c r="L8" s="108"/>
      <c r="R8">
        <v>5</v>
      </c>
      <c r="S8" t="s">
        <v>146</v>
      </c>
      <c r="T8" t="s">
        <v>123</v>
      </c>
      <c r="U8" t="s">
        <v>127</v>
      </c>
      <c r="V8" t="s">
        <v>119</v>
      </c>
      <c r="W8" s="2">
        <v>464</v>
      </c>
    </row>
    <row r="9" spans="2:23" ht="13.8" thickBot="1" x14ac:dyDescent="0.3">
      <c r="K9" s="107" t="s">
        <v>195</v>
      </c>
      <c r="L9" s="107" t="str">
        <f>VLOOKUP("חמו",S3:U56,3,FALSE)</f>
        <v>פתח תקווה</v>
      </c>
      <c r="N9" s="131" t="s">
        <v>248</v>
      </c>
      <c r="R9">
        <v>6</v>
      </c>
      <c r="S9" t="s">
        <v>147</v>
      </c>
      <c r="T9" t="s">
        <v>120</v>
      </c>
      <c r="U9" t="s">
        <v>128</v>
      </c>
      <c r="V9" t="s">
        <v>129</v>
      </c>
      <c r="W9" s="2">
        <v>1018</v>
      </c>
    </row>
    <row r="10" spans="2:23" x14ac:dyDescent="0.25">
      <c r="K10" s="104"/>
      <c r="L10" s="104"/>
      <c r="R10">
        <v>7</v>
      </c>
      <c r="S10" t="s">
        <v>148</v>
      </c>
      <c r="T10" t="s">
        <v>123</v>
      </c>
      <c r="U10" t="s">
        <v>130</v>
      </c>
      <c r="V10" t="s">
        <v>131</v>
      </c>
      <c r="W10" s="2">
        <v>873</v>
      </c>
    </row>
    <row r="11" spans="2:23" ht="13.8" thickBot="1" x14ac:dyDescent="0.3">
      <c r="B11" s="103"/>
      <c r="J11">
        <v>2</v>
      </c>
      <c r="K11" s="104" t="s">
        <v>198</v>
      </c>
      <c r="L11" s="104"/>
      <c r="R11">
        <v>8</v>
      </c>
      <c r="S11" t="s">
        <v>149</v>
      </c>
      <c r="T11" t="s">
        <v>118</v>
      </c>
      <c r="U11" t="s">
        <v>132</v>
      </c>
      <c r="V11" t="s">
        <v>122</v>
      </c>
      <c r="W11" s="2">
        <v>999</v>
      </c>
    </row>
    <row r="12" spans="2:23" ht="13.8" thickBot="1" x14ac:dyDescent="0.3">
      <c r="K12" s="107" t="s">
        <v>195</v>
      </c>
      <c r="L12" s="107" t="str">
        <f>VLOOKUP(27,R3:V56,5,FALSE)</f>
        <v>בלט</v>
      </c>
      <c r="R12">
        <v>9</v>
      </c>
      <c r="S12" t="s">
        <v>150</v>
      </c>
      <c r="T12" t="s">
        <v>120</v>
      </c>
      <c r="U12" t="s">
        <v>133</v>
      </c>
      <c r="V12" t="s">
        <v>126</v>
      </c>
      <c r="W12" s="2">
        <v>219</v>
      </c>
    </row>
    <row r="13" spans="2:23" x14ac:dyDescent="0.25">
      <c r="K13" s="104"/>
      <c r="L13" s="104"/>
      <c r="R13">
        <v>10</v>
      </c>
      <c r="S13" t="s">
        <v>152</v>
      </c>
      <c r="T13" t="s">
        <v>123</v>
      </c>
      <c r="U13" t="s">
        <v>134</v>
      </c>
      <c r="V13" t="s">
        <v>124</v>
      </c>
      <c r="W13" s="2">
        <v>378</v>
      </c>
    </row>
    <row r="14" spans="2:23" x14ac:dyDescent="0.25">
      <c r="J14">
        <v>3</v>
      </c>
      <c r="K14" s="104" t="s">
        <v>196</v>
      </c>
      <c r="L14" s="104"/>
      <c r="R14">
        <v>11</v>
      </c>
      <c r="S14" t="s">
        <v>153</v>
      </c>
      <c r="T14" t="s">
        <v>118</v>
      </c>
      <c r="U14" t="s">
        <v>135</v>
      </c>
      <c r="V14" t="s">
        <v>122</v>
      </c>
      <c r="W14" s="2">
        <v>1036</v>
      </c>
    </row>
    <row r="15" spans="2:23" x14ac:dyDescent="0.25">
      <c r="K15" s="104" t="s">
        <v>243</v>
      </c>
      <c r="L15" s="104"/>
      <c r="R15">
        <v>12</v>
      </c>
      <c r="S15" t="s">
        <v>154</v>
      </c>
      <c r="T15" t="s">
        <v>123</v>
      </c>
      <c r="U15" t="s">
        <v>136</v>
      </c>
      <c r="V15" t="s">
        <v>126</v>
      </c>
      <c r="W15" s="2">
        <v>1108</v>
      </c>
    </row>
    <row r="16" spans="2:23" ht="13.8" thickBot="1" x14ac:dyDescent="0.3">
      <c r="B16" s="103"/>
      <c r="K16" s="147">
        <f>VLOOKUP(R23,R3:R56,1,FALSE)</f>
        <v>20</v>
      </c>
      <c r="L16" s="147">
        <f>VLOOKUP(K16,R$3:W56,6,FALSE)</f>
        <v>408</v>
      </c>
      <c r="M16" s="146"/>
      <c r="R16">
        <v>13</v>
      </c>
      <c r="S16" t="s">
        <v>155</v>
      </c>
      <c r="T16" t="s">
        <v>118</v>
      </c>
      <c r="U16" t="s">
        <v>65</v>
      </c>
      <c r="V16" t="s">
        <v>119</v>
      </c>
      <c r="W16" s="2">
        <v>1045</v>
      </c>
    </row>
    <row r="17" spans="2:23" ht="14.4" thickTop="1" thickBot="1" x14ac:dyDescent="0.3">
      <c r="K17" s="147">
        <f t="shared" ref="K17:K26" si="0">VLOOKUP(R24,R4:R57,1,FALSE)</f>
        <v>21</v>
      </c>
      <c r="L17" s="147">
        <f>VLOOKUP(K17,R$3:W57,6,FALSE)</f>
        <v>219</v>
      </c>
      <c r="M17" s="145"/>
      <c r="R17">
        <v>14</v>
      </c>
      <c r="S17" t="s">
        <v>156</v>
      </c>
      <c r="T17" t="s">
        <v>120</v>
      </c>
      <c r="U17" t="s">
        <v>125</v>
      </c>
      <c r="V17" t="s">
        <v>124</v>
      </c>
      <c r="W17" s="2">
        <v>440</v>
      </c>
    </row>
    <row r="18" spans="2:23" ht="14.4" thickTop="1" thickBot="1" x14ac:dyDescent="0.3">
      <c r="K18" s="147">
        <f t="shared" si="0"/>
        <v>22</v>
      </c>
      <c r="L18" s="147">
        <f>VLOOKUP(K18,R$3:W58,6,FALSE)</f>
        <v>471</v>
      </c>
      <c r="M18" s="145"/>
      <c r="R18">
        <v>15</v>
      </c>
      <c r="S18" t="s">
        <v>157</v>
      </c>
      <c r="T18" t="s">
        <v>118</v>
      </c>
      <c r="U18" t="s">
        <v>132</v>
      </c>
      <c r="V18" t="s">
        <v>119</v>
      </c>
      <c r="W18" s="2">
        <v>437</v>
      </c>
    </row>
    <row r="19" spans="2:23" ht="14.4" thickTop="1" thickBot="1" x14ac:dyDescent="0.3">
      <c r="K19" s="147">
        <f t="shared" si="0"/>
        <v>23</v>
      </c>
      <c r="L19" s="147">
        <f>VLOOKUP(K19,R$3:W59,6,FALSE)</f>
        <v>776</v>
      </c>
      <c r="M19" s="145"/>
      <c r="R19">
        <v>16</v>
      </c>
      <c r="S19" t="s">
        <v>158</v>
      </c>
      <c r="T19" t="s">
        <v>123</v>
      </c>
      <c r="U19" t="s">
        <v>130</v>
      </c>
      <c r="V19" t="s">
        <v>126</v>
      </c>
      <c r="W19" s="2">
        <v>203</v>
      </c>
    </row>
    <row r="20" spans="2:23" ht="14.4" thickTop="1" thickBot="1" x14ac:dyDescent="0.3">
      <c r="K20" s="147">
        <f t="shared" si="0"/>
        <v>24</v>
      </c>
      <c r="L20" s="147">
        <f>VLOOKUP(K20,R$3:W60,6,FALSE)</f>
        <v>805</v>
      </c>
      <c r="M20" s="145"/>
      <c r="R20">
        <v>17</v>
      </c>
      <c r="S20" t="s">
        <v>151</v>
      </c>
      <c r="T20" t="s">
        <v>123</v>
      </c>
      <c r="U20" t="s">
        <v>63</v>
      </c>
      <c r="V20" t="s">
        <v>122</v>
      </c>
      <c r="W20" s="2">
        <v>1144</v>
      </c>
    </row>
    <row r="21" spans="2:23" ht="14.4" thickTop="1" thickBot="1" x14ac:dyDescent="0.3">
      <c r="B21" s="103"/>
      <c r="K21" s="147">
        <f t="shared" si="0"/>
        <v>25</v>
      </c>
      <c r="L21" s="147">
        <f>VLOOKUP(K21,R$3:W61,6,FALSE)</f>
        <v>1020</v>
      </c>
      <c r="M21" s="145"/>
      <c r="R21">
        <v>18</v>
      </c>
      <c r="S21" t="s">
        <v>159</v>
      </c>
      <c r="T21" t="s">
        <v>118</v>
      </c>
      <c r="U21" t="s">
        <v>65</v>
      </c>
      <c r="V21" t="s">
        <v>124</v>
      </c>
      <c r="W21" s="2">
        <v>742</v>
      </c>
    </row>
    <row r="22" spans="2:23" ht="14.4" thickTop="1" thickBot="1" x14ac:dyDescent="0.3">
      <c r="K22" s="147">
        <f t="shared" si="0"/>
        <v>26</v>
      </c>
      <c r="L22" s="147">
        <f>VLOOKUP(K22,R$3:W62,6,FALSE)</f>
        <v>669</v>
      </c>
      <c r="M22" s="145"/>
      <c r="R22">
        <v>19</v>
      </c>
      <c r="S22" t="s">
        <v>160</v>
      </c>
      <c r="T22" t="s">
        <v>120</v>
      </c>
      <c r="U22" t="s">
        <v>128</v>
      </c>
      <c r="V22" t="s">
        <v>129</v>
      </c>
      <c r="W22" s="2">
        <v>335</v>
      </c>
    </row>
    <row r="23" spans="2:23" ht="14.4" thickTop="1" thickBot="1" x14ac:dyDescent="0.3">
      <c r="K23" s="147">
        <f t="shared" si="0"/>
        <v>27</v>
      </c>
      <c r="L23" s="147">
        <f>VLOOKUP(K23,R$3:W63,6,FALSE)</f>
        <v>433</v>
      </c>
      <c r="M23" s="145"/>
      <c r="R23">
        <v>20</v>
      </c>
      <c r="S23" t="s">
        <v>161</v>
      </c>
      <c r="T23" t="s">
        <v>123</v>
      </c>
      <c r="U23" t="s">
        <v>127</v>
      </c>
      <c r="V23" t="s">
        <v>122</v>
      </c>
      <c r="W23" s="2">
        <v>408</v>
      </c>
    </row>
    <row r="24" spans="2:23" ht="14.4" thickTop="1" thickBot="1" x14ac:dyDescent="0.3">
      <c r="K24" s="147">
        <f t="shared" si="0"/>
        <v>28</v>
      </c>
      <c r="L24" s="147">
        <f>VLOOKUP(K24,R$3:W64,6,FALSE)</f>
        <v>880</v>
      </c>
      <c r="M24" s="145"/>
      <c r="R24">
        <v>21</v>
      </c>
      <c r="S24" t="s">
        <v>162</v>
      </c>
      <c r="T24" t="s">
        <v>118</v>
      </c>
      <c r="U24" t="s">
        <v>135</v>
      </c>
      <c r="V24" t="s">
        <v>126</v>
      </c>
      <c r="W24" s="2">
        <v>219</v>
      </c>
    </row>
    <row r="25" spans="2:23" ht="14.4" thickTop="1" thickBot="1" x14ac:dyDescent="0.3">
      <c r="K25" s="147">
        <f t="shared" si="0"/>
        <v>29</v>
      </c>
      <c r="L25" s="147">
        <f>VLOOKUP(K25,R$3:W65,6,FALSE)</f>
        <v>628</v>
      </c>
      <c r="M25" s="145"/>
      <c r="R25">
        <v>22</v>
      </c>
      <c r="S25" t="s">
        <v>163</v>
      </c>
      <c r="T25" t="s">
        <v>123</v>
      </c>
      <c r="U25" t="s">
        <v>130</v>
      </c>
      <c r="V25" t="s">
        <v>122</v>
      </c>
      <c r="W25" s="2">
        <v>471</v>
      </c>
    </row>
    <row r="26" spans="2:23" ht="14.4" thickTop="1" thickBot="1" x14ac:dyDescent="0.3">
      <c r="K26" s="147">
        <f t="shared" si="0"/>
        <v>30</v>
      </c>
      <c r="L26" s="147">
        <f>VLOOKUP(K26,R$3:W66,6,FALSE)</f>
        <v>1161</v>
      </c>
      <c r="M26" s="145"/>
      <c r="R26">
        <v>23</v>
      </c>
      <c r="S26" t="s">
        <v>164</v>
      </c>
      <c r="T26" t="s">
        <v>120</v>
      </c>
      <c r="U26" t="s">
        <v>121</v>
      </c>
      <c r="V26" t="s">
        <v>126</v>
      </c>
      <c r="W26" s="2">
        <v>776</v>
      </c>
    </row>
    <row r="27" spans="2:23" ht="13.8" thickTop="1" x14ac:dyDescent="0.25">
      <c r="R27">
        <v>24</v>
      </c>
      <c r="S27" t="s">
        <v>165</v>
      </c>
      <c r="T27" t="s">
        <v>120</v>
      </c>
      <c r="U27" t="s">
        <v>125</v>
      </c>
      <c r="V27" t="s">
        <v>119</v>
      </c>
      <c r="W27" s="2">
        <v>805</v>
      </c>
    </row>
    <row r="28" spans="2:23" x14ac:dyDescent="0.25">
      <c r="K28" s="114" t="s">
        <v>239</v>
      </c>
      <c r="L28" s="114"/>
      <c r="M28" s="114"/>
      <c r="N28" s="114"/>
      <c r="O28" s="114"/>
      <c r="P28" s="114"/>
      <c r="Q28" s="114"/>
      <c r="R28">
        <v>25</v>
      </c>
      <c r="S28" t="s">
        <v>166</v>
      </c>
      <c r="T28" t="s">
        <v>123</v>
      </c>
      <c r="U28" t="s">
        <v>136</v>
      </c>
      <c r="V28" t="s">
        <v>124</v>
      </c>
      <c r="W28" s="2">
        <v>1020</v>
      </c>
    </row>
    <row r="29" spans="2:23" x14ac:dyDescent="0.25">
      <c r="K29" s="114" t="s">
        <v>244</v>
      </c>
      <c r="L29" s="114"/>
      <c r="M29" s="114"/>
      <c r="N29" s="114"/>
      <c r="O29" s="114"/>
      <c r="P29" s="114"/>
      <c r="Q29" s="114"/>
      <c r="R29">
        <v>26</v>
      </c>
      <c r="S29" t="s">
        <v>167</v>
      </c>
      <c r="T29" t="s">
        <v>120</v>
      </c>
      <c r="U29" t="s">
        <v>137</v>
      </c>
      <c r="V29" t="s">
        <v>119</v>
      </c>
      <c r="W29" s="2">
        <v>669</v>
      </c>
    </row>
    <row r="30" spans="2:23" x14ac:dyDescent="0.25">
      <c r="K30" s="114" t="s">
        <v>238</v>
      </c>
      <c r="L30" s="114"/>
      <c r="M30" s="114"/>
      <c r="N30" s="114"/>
      <c r="O30" s="114"/>
      <c r="P30" s="114"/>
      <c r="Q30" s="114"/>
      <c r="R30">
        <v>27</v>
      </c>
      <c r="S30" t="s">
        <v>168</v>
      </c>
      <c r="T30" t="s">
        <v>123</v>
      </c>
      <c r="U30" t="s">
        <v>134</v>
      </c>
      <c r="V30" t="s">
        <v>122</v>
      </c>
      <c r="W30" s="2">
        <v>433</v>
      </c>
    </row>
    <row r="31" spans="2:23" x14ac:dyDescent="0.25">
      <c r="R31">
        <v>28</v>
      </c>
      <c r="S31" t="s">
        <v>169</v>
      </c>
      <c r="T31" t="s">
        <v>120</v>
      </c>
      <c r="U31" t="s">
        <v>133</v>
      </c>
      <c r="V31" t="s">
        <v>129</v>
      </c>
      <c r="W31" s="2">
        <v>880</v>
      </c>
    </row>
    <row r="32" spans="2:23" x14ac:dyDescent="0.25">
      <c r="K32" s="113" t="s">
        <v>249</v>
      </c>
      <c r="R32">
        <v>29</v>
      </c>
      <c r="S32" t="s">
        <v>170</v>
      </c>
      <c r="T32" t="s">
        <v>118</v>
      </c>
      <c r="U32" t="s">
        <v>138</v>
      </c>
      <c r="V32" t="s">
        <v>131</v>
      </c>
      <c r="W32" s="2">
        <v>628</v>
      </c>
    </row>
    <row r="33" spans="18:23" x14ac:dyDescent="0.25">
      <c r="R33">
        <v>30</v>
      </c>
      <c r="S33" t="s">
        <v>171</v>
      </c>
      <c r="T33" t="s">
        <v>120</v>
      </c>
      <c r="U33" t="s">
        <v>121</v>
      </c>
      <c r="V33" t="s">
        <v>126</v>
      </c>
      <c r="W33" s="2">
        <v>1161</v>
      </c>
    </row>
    <row r="34" spans="18:23" x14ac:dyDescent="0.25">
      <c r="R34">
        <v>31</v>
      </c>
      <c r="S34" t="s">
        <v>172</v>
      </c>
      <c r="T34" t="s">
        <v>120</v>
      </c>
      <c r="U34" t="s">
        <v>137</v>
      </c>
      <c r="V34" t="s">
        <v>122</v>
      </c>
      <c r="W34" s="2">
        <v>404</v>
      </c>
    </row>
    <row r="35" spans="18:23" x14ac:dyDescent="0.25">
      <c r="R35">
        <v>32</v>
      </c>
      <c r="S35" t="s">
        <v>173</v>
      </c>
      <c r="T35" t="s">
        <v>118</v>
      </c>
      <c r="U35" t="s">
        <v>65</v>
      </c>
      <c r="V35" t="s">
        <v>131</v>
      </c>
      <c r="W35" s="2">
        <v>531</v>
      </c>
    </row>
    <row r="36" spans="18:23" x14ac:dyDescent="0.25">
      <c r="R36">
        <v>33</v>
      </c>
      <c r="S36" t="s">
        <v>174</v>
      </c>
      <c r="T36" t="s">
        <v>123</v>
      </c>
      <c r="U36" t="s">
        <v>63</v>
      </c>
      <c r="V36" t="s">
        <v>119</v>
      </c>
      <c r="W36" s="2">
        <v>934</v>
      </c>
    </row>
    <row r="37" spans="18:23" x14ac:dyDescent="0.25">
      <c r="R37">
        <v>34</v>
      </c>
      <c r="S37" t="s">
        <v>151</v>
      </c>
      <c r="T37" t="s">
        <v>118</v>
      </c>
      <c r="U37" t="s">
        <v>138</v>
      </c>
      <c r="V37" t="s">
        <v>126</v>
      </c>
      <c r="W37" s="2">
        <v>855</v>
      </c>
    </row>
    <row r="38" spans="18:23" x14ac:dyDescent="0.25">
      <c r="R38">
        <v>35</v>
      </c>
      <c r="S38" t="s">
        <v>175</v>
      </c>
      <c r="T38" t="s">
        <v>123</v>
      </c>
      <c r="U38" t="s">
        <v>127</v>
      </c>
      <c r="V38" t="s">
        <v>122</v>
      </c>
      <c r="W38" s="2">
        <v>902</v>
      </c>
    </row>
    <row r="39" spans="18:23" x14ac:dyDescent="0.25">
      <c r="R39">
        <v>36</v>
      </c>
      <c r="S39" t="s">
        <v>176</v>
      </c>
      <c r="T39" t="s">
        <v>118</v>
      </c>
      <c r="U39" t="s">
        <v>135</v>
      </c>
      <c r="V39" t="s">
        <v>129</v>
      </c>
      <c r="W39" s="2">
        <v>527</v>
      </c>
    </row>
    <row r="40" spans="18:23" x14ac:dyDescent="0.25">
      <c r="R40">
        <v>37</v>
      </c>
      <c r="S40" t="s">
        <v>177</v>
      </c>
      <c r="T40" t="s">
        <v>120</v>
      </c>
      <c r="U40" t="s">
        <v>133</v>
      </c>
      <c r="V40" t="s">
        <v>122</v>
      </c>
      <c r="W40" s="2">
        <v>722</v>
      </c>
    </row>
    <row r="41" spans="18:23" x14ac:dyDescent="0.25">
      <c r="R41">
        <v>38</v>
      </c>
      <c r="S41" t="s">
        <v>178</v>
      </c>
      <c r="T41" t="s">
        <v>123</v>
      </c>
      <c r="U41" t="s">
        <v>136</v>
      </c>
      <c r="V41" t="s">
        <v>131</v>
      </c>
      <c r="W41" s="2">
        <v>916</v>
      </c>
    </row>
    <row r="42" spans="18:23" x14ac:dyDescent="0.25">
      <c r="R42">
        <v>39</v>
      </c>
      <c r="S42" t="s">
        <v>179</v>
      </c>
      <c r="T42" t="s">
        <v>118</v>
      </c>
      <c r="U42" t="s">
        <v>65</v>
      </c>
      <c r="V42" t="s">
        <v>124</v>
      </c>
      <c r="W42" s="2">
        <v>660</v>
      </c>
    </row>
    <row r="43" spans="18:23" x14ac:dyDescent="0.25">
      <c r="R43">
        <v>40</v>
      </c>
      <c r="S43" t="s">
        <v>180</v>
      </c>
      <c r="T43" t="s">
        <v>120</v>
      </c>
      <c r="U43" t="s">
        <v>121</v>
      </c>
      <c r="V43" t="s">
        <v>122</v>
      </c>
      <c r="W43" s="2">
        <v>1032</v>
      </c>
    </row>
    <row r="44" spans="18:23" x14ac:dyDescent="0.25">
      <c r="R44">
        <v>41</v>
      </c>
      <c r="S44" t="s">
        <v>181</v>
      </c>
      <c r="T44" t="s">
        <v>123</v>
      </c>
      <c r="U44" t="s">
        <v>63</v>
      </c>
      <c r="V44" t="s">
        <v>126</v>
      </c>
      <c r="W44" s="2">
        <v>342</v>
      </c>
    </row>
    <row r="45" spans="18:23" x14ac:dyDescent="0.25">
      <c r="R45">
        <v>42</v>
      </c>
      <c r="S45" t="s">
        <v>182</v>
      </c>
      <c r="T45" t="s">
        <v>120</v>
      </c>
      <c r="U45" t="s">
        <v>125</v>
      </c>
      <c r="V45" t="s">
        <v>124</v>
      </c>
      <c r="W45" s="2">
        <v>1171</v>
      </c>
    </row>
    <row r="46" spans="18:23" x14ac:dyDescent="0.25">
      <c r="R46">
        <v>43</v>
      </c>
      <c r="S46" t="s">
        <v>183</v>
      </c>
      <c r="T46" t="s">
        <v>120</v>
      </c>
      <c r="U46" t="s">
        <v>133</v>
      </c>
      <c r="V46" t="s">
        <v>119</v>
      </c>
      <c r="W46" s="2">
        <v>544</v>
      </c>
    </row>
    <row r="47" spans="18:23" x14ac:dyDescent="0.25">
      <c r="R47">
        <v>44</v>
      </c>
      <c r="S47" t="s">
        <v>184</v>
      </c>
      <c r="T47" t="s">
        <v>118</v>
      </c>
      <c r="U47" t="s">
        <v>132</v>
      </c>
      <c r="V47" t="s">
        <v>126</v>
      </c>
      <c r="W47" s="2">
        <v>559</v>
      </c>
    </row>
    <row r="48" spans="18:23" x14ac:dyDescent="0.25">
      <c r="R48">
        <v>45</v>
      </c>
      <c r="S48" t="s">
        <v>185</v>
      </c>
      <c r="T48" t="s">
        <v>123</v>
      </c>
      <c r="U48" t="s">
        <v>127</v>
      </c>
      <c r="V48" t="s">
        <v>122</v>
      </c>
      <c r="W48" s="2">
        <v>747</v>
      </c>
    </row>
    <row r="49" spans="18:23" x14ac:dyDescent="0.25">
      <c r="R49">
        <v>46</v>
      </c>
      <c r="S49" t="s">
        <v>186</v>
      </c>
      <c r="T49" t="s">
        <v>118</v>
      </c>
      <c r="U49" t="s">
        <v>139</v>
      </c>
      <c r="V49" t="s">
        <v>119</v>
      </c>
      <c r="W49" s="2">
        <v>961</v>
      </c>
    </row>
    <row r="50" spans="18:23" x14ac:dyDescent="0.25">
      <c r="R50">
        <v>47</v>
      </c>
      <c r="S50" t="s">
        <v>187</v>
      </c>
      <c r="T50" t="s">
        <v>118</v>
      </c>
      <c r="U50" t="s">
        <v>65</v>
      </c>
      <c r="V50" t="s">
        <v>129</v>
      </c>
      <c r="W50" s="2">
        <v>467</v>
      </c>
    </row>
    <row r="51" spans="18:23" x14ac:dyDescent="0.25">
      <c r="R51">
        <v>48</v>
      </c>
      <c r="S51" t="s">
        <v>188</v>
      </c>
      <c r="T51" t="s">
        <v>123</v>
      </c>
      <c r="U51" t="s">
        <v>130</v>
      </c>
      <c r="V51" t="s">
        <v>122</v>
      </c>
      <c r="W51" s="2">
        <v>650</v>
      </c>
    </row>
    <row r="52" spans="18:23" x14ac:dyDescent="0.25">
      <c r="R52">
        <v>49</v>
      </c>
      <c r="S52" t="s">
        <v>189</v>
      </c>
      <c r="T52" t="s">
        <v>118</v>
      </c>
      <c r="U52" t="s">
        <v>135</v>
      </c>
      <c r="V52" t="s">
        <v>126</v>
      </c>
      <c r="W52" s="2">
        <v>441</v>
      </c>
    </row>
    <row r="53" spans="18:23" x14ac:dyDescent="0.25">
      <c r="R53">
        <v>50</v>
      </c>
      <c r="S53" t="s">
        <v>190</v>
      </c>
      <c r="T53" t="s">
        <v>120</v>
      </c>
      <c r="U53" t="s">
        <v>125</v>
      </c>
      <c r="V53" t="s">
        <v>119</v>
      </c>
      <c r="W53" s="2">
        <v>219</v>
      </c>
    </row>
    <row r="54" spans="18:23" x14ac:dyDescent="0.25">
      <c r="R54">
        <v>51</v>
      </c>
      <c r="S54" t="s">
        <v>191</v>
      </c>
      <c r="T54" t="s">
        <v>120</v>
      </c>
      <c r="U54" t="s">
        <v>121</v>
      </c>
      <c r="V54" t="s">
        <v>124</v>
      </c>
      <c r="W54" s="2">
        <v>1053</v>
      </c>
    </row>
    <row r="55" spans="18:23" x14ac:dyDescent="0.25">
      <c r="R55">
        <v>52</v>
      </c>
      <c r="S55" t="s">
        <v>192</v>
      </c>
      <c r="T55" t="s">
        <v>123</v>
      </c>
      <c r="U55" t="s">
        <v>63</v>
      </c>
      <c r="V55" t="s">
        <v>124</v>
      </c>
      <c r="W55" s="2">
        <v>639</v>
      </c>
    </row>
    <row r="56" spans="18:23" x14ac:dyDescent="0.25">
      <c r="R56">
        <v>53</v>
      </c>
      <c r="S56" t="s">
        <v>193</v>
      </c>
      <c r="T56" t="s">
        <v>118</v>
      </c>
      <c r="U56" t="s">
        <v>139</v>
      </c>
      <c r="V56" t="s">
        <v>129</v>
      </c>
      <c r="W56" s="2">
        <v>396</v>
      </c>
    </row>
  </sheetData>
  <autoFilter ref="R3:W56" xr:uid="{36C20CB8-ED85-4BA9-9F9D-B9DF19691E4F}">
    <sortState xmlns:xlrd2="http://schemas.microsoft.com/office/spreadsheetml/2017/richdata2" ref="R4:W56">
      <sortCondition ref="R3:R56"/>
    </sortState>
  </autoFilter>
  <sortState xmlns:xlrd2="http://schemas.microsoft.com/office/spreadsheetml/2017/richdata2" ref="R4:W56">
    <sortCondition ref="R4:R56"/>
  </sortState>
  <mergeCells count="1">
    <mergeCell ref="C2:N2"/>
  </mergeCells>
  <phoneticPr fontId="19" type="noConversion"/>
  <pageMargins left="0.75" right="0.75" top="1" bottom="1" header="0.5" footer="0.5"/>
  <pageSetup orientation="portrait"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6">
    <tabColor theme="3"/>
  </sheetPr>
  <dimension ref="A6:G18"/>
  <sheetViews>
    <sheetView rightToLeft="1" zoomScale="70" zoomScaleNormal="70" workbookViewId="0">
      <selection activeCell="D8" sqref="D8"/>
    </sheetView>
  </sheetViews>
  <sheetFormatPr defaultColWidth="8.77734375" defaultRowHeight="15" x14ac:dyDescent="0.25"/>
  <cols>
    <col min="1" max="1" width="13.21875" style="10" bestFit="1" customWidth="1"/>
    <col min="2" max="2" width="9.5546875" style="10" bestFit="1" customWidth="1"/>
    <col min="3" max="3" width="11" style="10" customWidth="1"/>
    <col min="4" max="4" width="8.77734375" style="10" customWidth="1"/>
    <col min="5" max="5" width="13.5546875" style="10" bestFit="1" customWidth="1"/>
    <col min="6" max="6" width="8.77734375" style="10" customWidth="1"/>
    <col min="7" max="7" width="11.21875" style="10" bestFit="1" customWidth="1"/>
    <col min="8" max="16384" width="8.77734375" style="10"/>
  </cols>
  <sheetData>
    <row r="6" spans="1:7" ht="15.6" thickBot="1" x14ac:dyDescent="0.3"/>
    <row r="7" spans="1:7" ht="22.95" customHeight="1" thickBot="1" x14ac:dyDescent="0.35">
      <c r="B7" s="16" t="s">
        <v>36</v>
      </c>
      <c r="C7" s="14"/>
      <c r="D7" s="15">
        <v>8000</v>
      </c>
    </row>
    <row r="9" spans="1:7" x14ac:dyDescent="0.25">
      <c r="A9" s="12" t="s">
        <v>18</v>
      </c>
      <c r="B9" s="12" t="s">
        <v>19</v>
      </c>
      <c r="C9" s="12" t="s">
        <v>20</v>
      </c>
      <c r="E9" s="13" t="s">
        <v>27</v>
      </c>
      <c r="F9" s="13" t="s">
        <v>28</v>
      </c>
      <c r="G9" s="13" t="s">
        <v>29</v>
      </c>
    </row>
    <row r="10" spans="1:7" x14ac:dyDescent="0.25">
      <c r="A10" s="10" t="s">
        <v>21</v>
      </c>
      <c r="B10" s="10">
        <v>0.35</v>
      </c>
      <c r="C10" s="10">
        <f>B10*$D$7</f>
        <v>2800</v>
      </c>
      <c r="E10" s="10" t="s">
        <v>30</v>
      </c>
      <c r="F10" s="10">
        <v>0.1</v>
      </c>
      <c r="G10" s="10">
        <f>F10*$D$7</f>
        <v>800</v>
      </c>
    </row>
    <row r="11" spans="1:7" x14ac:dyDescent="0.25">
      <c r="A11" s="10" t="s">
        <v>22</v>
      </c>
      <c r="B11" s="10">
        <v>0.05</v>
      </c>
      <c r="C11" s="10">
        <f t="shared" ref="C11:C14" si="0">B11*$D$7</f>
        <v>400</v>
      </c>
      <c r="E11" s="10" t="s">
        <v>31</v>
      </c>
      <c r="F11" s="10">
        <v>2E-3</v>
      </c>
      <c r="G11" s="10">
        <f t="shared" ref="G11:G15" si="1">F11*$D$7</f>
        <v>16</v>
      </c>
    </row>
    <row r="12" spans="1:7" x14ac:dyDescent="0.25">
      <c r="A12" s="10" t="s">
        <v>23</v>
      </c>
      <c r="B12" s="10">
        <v>0.03</v>
      </c>
      <c r="C12" s="10">
        <f>B12*$D$7</f>
        <v>240</v>
      </c>
      <c r="E12" s="10" t="s">
        <v>32</v>
      </c>
      <c r="F12" s="10">
        <v>1.6000000000000001E-3</v>
      </c>
      <c r="G12" s="10">
        <f t="shared" si="1"/>
        <v>12.8</v>
      </c>
    </row>
    <row r="13" spans="1:7" x14ac:dyDescent="0.25">
      <c r="A13" s="10" t="s">
        <v>24</v>
      </c>
      <c r="B13" s="10">
        <v>8.0000000000000002E-3</v>
      </c>
      <c r="C13" s="10">
        <f t="shared" si="0"/>
        <v>64</v>
      </c>
      <c r="E13" s="10" t="s">
        <v>33</v>
      </c>
      <c r="F13" s="10">
        <v>0.05</v>
      </c>
      <c r="G13" s="10">
        <f t="shared" si="1"/>
        <v>400</v>
      </c>
    </row>
    <row r="14" spans="1:7" x14ac:dyDescent="0.25">
      <c r="A14" s="10" t="s">
        <v>25</v>
      </c>
      <c r="B14" s="10">
        <v>1.7999999999999999E-2</v>
      </c>
      <c r="C14" s="10">
        <f t="shared" si="0"/>
        <v>144</v>
      </c>
      <c r="E14" s="10" t="s">
        <v>34</v>
      </c>
      <c r="F14" s="10">
        <v>2.5000000000000001E-2</v>
      </c>
      <c r="G14" s="10">
        <f t="shared" si="1"/>
        <v>200</v>
      </c>
    </row>
    <row r="15" spans="1:7" x14ac:dyDescent="0.25">
      <c r="A15" s="10" t="s">
        <v>26</v>
      </c>
      <c r="B15" s="10">
        <v>0.05</v>
      </c>
      <c r="C15" s="10">
        <f>B15*$D$7</f>
        <v>400</v>
      </c>
      <c r="E15" s="10" t="s">
        <v>35</v>
      </c>
      <c r="F15" s="10">
        <v>0.15</v>
      </c>
      <c r="G15" s="10">
        <f t="shared" si="1"/>
        <v>1200</v>
      </c>
    </row>
    <row r="16" spans="1:7" x14ac:dyDescent="0.25">
      <c r="A16" s="12" t="s">
        <v>240</v>
      </c>
      <c r="B16" s="12"/>
      <c r="C16" s="12">
        <f>SUM(C10:C15)</f>
        <v>4048</v>
      </c>
      <c r="E16" s="13" t="s">
        <v>241</v>
      </c>
      <c r="F16" s="13"/>
      <c r="G16" s="13">
        <f>SUM(G10:G15)</f>
        <v>2628.8</v>
      </c>
    </row>
    <row r="17" spans="2:4" ht="15.6" thickBot="1" x14ac:dyDescent="0.3"/>
    <row r="18" spans="2:4" s="11" customFormat="1" ht="21.6" customHeight="1" thickBot="1" x14ac:dyDescent="0.35">
      <c r="B18" s="16" t="s">
        <v>37</v>
      </c>
      <c r="C18" s="14">
        <f>SUM(D7+G16)-C16</f>
        <v>6580.7999999999993</v>
      </c>
      <c r="D18" s="15"/>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גיליון7">
    <tabColor theme="3"/>
  </sheetPr>
  <dimension ref="E2:N32"/>
  <sheetViews>
    <sheetView rightToLeft="1" zoomScale="81" zoomScaleNormal="81" workbookViewId="0">
      <selection activeCell="G5" sqref="G5"/>
    </sheetView>
  </sheetViews>
  <sheetFormatPr defaultColWidth="9.21875" defaultRowHeight="13.2" x14ac:dyDescent="0.25"/>
  <cols>
    <col min="1" max="3" width="9.21875" style="116"/>
    <col min="4" max="4" width="2.21875" style="116" customWidth="1"/>
    <col min="5" max="5" width="9.21875" style="116" hidden="1" customWidth="1"/>
    <col min="6" max="6" width="24.21875" style="116" customWidth="1"/>
    <col min="7" max="8" width="9.21875" style="116"/>
    <col min="9" max="9" width="16" style="116" bestFit="1" customWidth="1"/>
    <col min="10" max="10" width="9.21875" style="116" hidden="1" customWidth="1"/>
    <col min="11" max="11" width="12.77734375" style="116" bestFit="1" customWidth="1"/>
    <col min="12" max="16384" width="9.21875" style="116"/>
  </cols>
  <sheetData>
    <row r="2" spans="7:14" x14ac:dyDescent="0.25">
      <c r="L2" s="120"/>
      <c r="M2" s="120"/>
      <c r="N2" s="120"/>
    </row>
    <row r="3" spans="7:14" x14ac:dyDescent="0.25">
      <c r="H3" s="117" t="s">
        <v>252</v>
      </c>
      <c r="I3" s="117" t="s">
        <v>39</v>
      </c>
      <c r="J3" s="117" t="s">
        <v>227</v>
      </c>
      <c r="K3" s="117" t="s">
        <v>227</v>
      </c>
      <c r="L3" s="120"/>
      <c r="M3" s="120"/>
      <c r="N3" s="120"/>
    </row>
    <row r="4" spans="7:14" x14ac:dyDescent="0.25">
      <c r="H4" s="117" t="s">
        <v>42</v>
      </c>
      <c r="I4" s="117">
        <v>200</v>
      </c>
      <c r="J4" s="117">
        <f ca="1">I4*1.5+RAND()*I4/10</f>
        <v>315.15910064116167</v>
      </c>
      <c r="K4" s="117">
        <v>305.1717480315956</v>
      </c>
      <c r="L4" s="120"/>
      <c r="M4" s="120"/>
      <c r="N4" s="120"/>
    </row>
    <row r="5" spans="7:14" x14ac:dyDescent="0.25">
      <c r="G5" s="157">
        <f>PEARSON(I4:I13,K4:K13)</f>
        <v>0.99882091492433001</v>
      </c>
      <c r="H5" s="117" t="s">
        <v>43</v>
      </c>
      <c r="I5" s="117">
        <v>350</v>
      </c>
      <c r="J5" s="117">
        <f t="shared" ref="J5:J13" ca="1" si="0">I5*1.5+RAND()*I5/10</f>
        <v>526.98616939105909</v>
      </c>
      <c r="K5" s="117">
        <v>538.66881037901317</v>
      </c>
      <c r="L5" s="120"/>
      <c r="M5" s="120"/>
      <c r="N5" s="120"/>
    </row>
    <row r="6" spans="7:14" x14ac:dyDescent="0.25">
      <c r="H6" s="117" t="s">
        <v>44</v>
      </c>
      <c r="I6" s="117">
        <v>400</v>
      </c>
      <c r="J6" s="117">
        <f t="shared" ca="1" si="0"/>
        <v>613.83646668507674</v>
      </c>
      <c r="K6" s="117">
        <v>610.01405136322717</v>
      </c>
      <c r="L6" s="120"/>
      <c r="M6" s="120"/>
      <c r="N6" s="120"/>
    </row>
    <row r="7" spans="7:14" x14ac:dyDescent="0.25">
      <c r="H7" s="117" t="s">
        <v>228</v>
      </c>
      <c r="I7" s="117">
        <v>200</v>
      </c>
      <c r="J7" s="117">
        <f t="shared" ca="1" si="0"/>
        <v>300.77014073740679</v>
      </c>
      <c r="K7" s="117">
        <v>316.28476913560206</v>
      </c>
      <c r="L7" s="120"/>
      <c r="M7" s="120"/>
      <c r="N7" s="120"/>
    </row>
    <row r="8" spans="7:14" x14ac:dyDescent="0.25">
      <c r="H8" s="117" t="s">
        <v>229</v>
      </c>
      <c r="I8" s="117">
        <v>250</v>
      </c>
      <c r="J8" s="117">
        <f t="shared" ca="1" si="0"/>
        <v>383.51226011092263</v>
      </c>
      <c r="K8" s="117">
        <v>387.50174961641659</v>
      </c>
      <c r="L8" s="120"/>
      <c r="M8" s="120"/>
      <c r="N8" s="120"/>
    </row>
    <row r="9" spans="7:14" x14ac:dyDescent="0.25">
      <c r="H9" s="117" t="s">
        <v>199</v>
      </c>
      <c r="I9" s="117">
        <v>300</v>
      </c>
      <c r="J9" s="117">
        <f t="shared" ca="1" si="0"/>
        <v>477.96942404134182</v>
      </c>
      <c r="K9" s="117">
        <v>466.85613318733658</v>
      </c>
      <c r="L9" s="120"/>
      <c r="M9" s="120"/>
      <c r="N9" s="120"/>
    </row>
    <row r="10" spans="7:14" x14ac:dyDescent="0.25">
      <c r="H10" s="117" t="s">
        <v>230</v>
      </c>
      <c r="I10" s="117">
        <v>350</v>
      </c>
      <c r="J10" s="117">
        <f t="shared" ca="1" si="0"/>
        <v>532.12436343056027</v>
      </c>
      <c r="K10" s="117">
        <v>545.0797936636535</v>
      </c>
      <c r="L10" s="120"/>
      <c r="M10" s="120"/>
      <c r="N10" s="120"/>
    </row>
    <row r="11" spans="7:14" x14ac:dyDescent="0.25">
      <c r="H11" s="117" t="s">
        <v>231</v>
      </c>
      <c r="I11" s="117">
        <v>220</v>
      </c>
      <c r="J11" s="117">
        <f t="shared" ca="1" si="0"/>
        <v>347.93093357737627</v>
      </c>
      <c r="K11" s="117">
        <v>348.83120503599446</v>
      </c>
      <c r="L11" s="120"/>
      <c r="M11" s="120"/>
      <c r="N11" s="120"/>
    </row>
    <row r="12" spans="7:14" x14ac:dyDescent="0.25">
      <c r="H12" s="117" t="s">
        <v>232</v>
      </c>
      <c r="I12" s="117">
        <v>280</v>
      </c>
      <c r="J12" s="117">
        <f t="shared" ca="1" si="0"/>
        <v>422.58473980491902</v>
      </c>
      <c r="K12" s="117">
        <v>424.45941002433852</v>
      </c>
      <c r="L12" s="120"/>
      <c r="M12" s="120"/>
      <c r="N12" s="120"/>
    </row>
    <row r="13" spans="7:14" x14ac:dyDescent="0.25">
      <c r="H13" s="117" t="s">
        <v>233</v>
      </c>
      <c r="I13" s="117">
        <v>400</v>
      </c>
      <c r="J13" s="117">
        <f t="shared" ca="1" si="0"/>
        <v>619.5065271000617</v>
      </c>
      <c r="K13" s="117">
        <v>621.8800732356151</v>
      </c>
      <c r="L13" s="120"/>
      <c r="M13" s="120"/>
      <c r="N13" s="120"/>
    </row>
    <row r="31" spans="6:8" ht="22.8" x14ac:dyDescent="0.4">
      <c r="F31" s="143"/>
      <c r="G31" s="120"/>
    </row>
    <row r="32" spans="6:8" x14ac:dyDescent="0.25">
      <c r="H32" s="120"/>
    </row>
  </sheetData>
  <phoneticPr fontId="0" type="noConversion"/>
  <pageMargins left="0.75" right="0.75" top="1" bottom="1" header="0.5" footer="0.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9">
    <tabColor theme="3"/>
  </sheetPr>
  <dimension ref="A1:D9"/>
  <sheetViews>
    <sheetView rightToLeft="1" zoomScale="70" zoomScaleNormal="70" workbookViewId="0">
      <selection activeCell="M28" sqref="M28"/>
    </sheetView>
  </sheetViews>
  <sheetFormatPr defaultColWidth="9.21875" defaultRowHeight="15" x14ac:dyDescent="0.25"/>
  <cols>
    <col min="1" max="1" width="8.21875" style="8" customWidth="1"/>
    <col min="2" max="2" width="12.44140625" style="8" customWidth="1"/>
    <col min="3" max="3" width="9.21875" style="8" bestFit="1"/>
    <col min="4" max="4" width="17.5546875" style="8" bestFit="1" customWidth="1"/>
    <col min="5" max="16384" width="9.21875" style="8"/>
  </cols>
  <sheetData>
    <row r="1" spans="1:4" ht="15.6" x14ac:dyDescent="0.3">
      <c r="A1" s="23" t="s">
        <v>38</v>
      </c>
      <c r="B1" s="24" t="s">
        <v>41</v>
      </c>
      <c r="C1" s="24" t="s">
        <v>40</v>
      </c>
      <c r="D1" s="25" t="s">
        <v>251</v>
      </c>
    </row>
    <row r="2" spans="1:4" x14ac:dyDescent="0.25">
      <c r="A2" s="18">
        <v>2005</v>
      </c>
      <c r="B2" s="17">
        <v>50000</v>
      </c>
      <c r="C2" s="17">
        <v>0</v>
      </c>
      <c r="D2" s="19">
        <v>0</v>
      </c>
    </row>
    <row r="3" spans="1:4" x14ac:dyDescent="0.25">
      <c r="A3" s="18">
        <v>2006</v>
      </c>
      <c r="B3" s="17">
        <v>52000</v>
      </c>
      <c r="C3" s="17">
        <v>1000</v>
      </c>
      <c r="D3" s="19">
        <v>500</v>
      </c>
    </row>
    <row r="4" spans="1:4" x14ac:dyDescent="0.25">
      <c r="A4" s="18">
        <v>2007</v>
      </c>
      <c r="B4" s="17">
        <v>53000</v>
      </c>
      <c r="C4" s="17">
        <v>1500</v>
      </c>
      <c r="D4" s="19">
        <v>1500</v>
      </c>
    </row>
    <row r="5" spans="1:4" x14ac:dyDescent="0.25">
      <c r="A5" s="18">
        <v>2008</v>
      </c>
      <c r="B5" s="17">
        <v>52500</v>
      </c>
      <c r="C5" s="17">
        <v>2000</v>
      </c>
      <c r="D5" s="19">
        <v>2000</v>
      </c>
    </row>
    <row r="6" spans="1:4" x14ac:dyDescent="0.25">
      <c r="A6" s="18">
        <v>2009</v>
      </c>
      <c r="B6" s="17">
        <v>54000</v>
      </c>
      <c r="C6" s="17">
        <v>2500</v>
      </c>
      <c r="D6" s="19">
        <v>2500</v>
      </c>
    </row>
    <row r="7" spans="1:4" x14ac:dyDescent="0.25">
      <c r="A7" s="18">
        <v>2010</v>
      </c>
      <c r="B7" s="17">
        <v>55000</v>
      </c>
      <c r="C7" s="17">
        <v>2500</v>
      </c>
      <c r="D7" s="19">
        <v>3500</v>
      </c>
    </row>
    <row r="8" spans="1:4" x14ac:dyDescent="0.25">
      <c r="A8" s="18">
        <v>2011</v>
      </c>
      <c r="B8" s="17">
        <v>55000</v>
      </c>
      <c r="C8" s="17">
        <v>3000</v>
      </c>
      <c r="D8" s="19">
        <v>4500</v>
      </c>
    </row>
    <row r="9" spans="1:4" ht="15.6" thickBot="1" x14ac:dyDescent="0.3">
      <c r="A9" s="20">
        <v>2012</v>
      </c>
      <c r="B9" s="21">
        <v>55000</v>
      </c>
      <c r="C9" s="21">
        <v>4000</v>
      </c>
      <c r="D9" s="22">
        <v>5000</v>
      </c>
    </row>
  </sheetData>
  <phoneticPr fontId="0" type="noConversion"/>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15">
    <tabColor theme="3"/>
  </sheetPr>
  <dimension ref="A1:E26"/>
  <sheetViews>
    <sheetView rightToLeft="1" topLeftCell="A17" zoomScale="80" zoomScaleNormal="80" workbookViewId="0">
      <selection activeCell="C16" activeCellId="1" sqref="A16:A26 C16:C26"/>
    </sheetView>
  </sheetViews>
  <sheetFormatPr defaultRowHeight="13.2" x14ac:dyDescent="0.25"/>
  <cols>
    <col min="1" max="1" width="15.44140625" bestFit="1" customWidth="1"/>
    <col min="2" max="3" width="11.21875" bestFit="1" customWidth="1"/>
    <col min="4" max="4" width="10.21875" customWidth="1"/>
  </cols>
  <sheetData>
    <row r="1" spans="1:5" x14ac:dyDescent="0.25">
      <c r="A1" t="s">
        <v>56</v>
      </c>
    </row>
    <row r="3" spans="1:5" x14ac:dyDescent="0.25">
      <c r="C3" t="s">
        <v>42</v>
      </c>
      <c r="D3" t="s">
        <v>43</v>
      </c>
      <c r="E3" t="s">
        <v>44</v>
      </c>
    </row>
    <row r="4" spans="1:5" x14ac:dyDescent="0.25">
      <c r="A4" t="s">
        <v>57</v>
      </c>
      <c r="B4" t="s">
        <v>60</v>
      </c>
      <c r="C4">
        <v>13</v>
      </c>
      <c r="D4">
        <v>13</v>
      </c>
      <c r="E4">
        <v>14</v>
      </c>
    </row>
    <row r="5" spans="1:5" x14ac:dyDescent="0.25">
      <c r="A5" t="s">
        <v>57</v>
      </c>
      <c r="B5" t="s">
        <v>61</v>
      </c>
      <c r="C5">
        <v>6</v>
      </c>
      <c r="D5">
        <v>8</v>
      </c>
      <c r="E5">
        <v>10</v>
      </c>
    </row>
    <row r="6" spans="1:5" x14ac:dyDescent="0.25">
      <c r="A6" t="s">
        <v>57</v>
      </c>
      <c r="B6" t="s">
        <v>62</v>
      </c>
      <c r="C6">
        <v>12</v>
      </c>
      <c r="D6">
        <v>12</v>
      </c>
      <c r="E6">
        <v>12</v>
      </c>
    </row>
    <row r="7" spans="1:5" x14ac:dyDescent="0.25">
      <c r="A7" t="s">
        <v>58</v>
      </c>
      <c r="B7" t="s">
        <v>63</v>
      </c>
      <c r="C7">
        <v>2</v>
      </c>
      <c r="D7">
        <v>2</v>
      </c>
      <c r="E7">
        <v>2</v>
      </c>
    </row>
    <row r="8" spans="1:5" x14ac:dyDescent="0.25">
      <c r="A8" t="s">
        <v>58</v>
      </c>
      <c r="B8" t="s">
        <v>64</v>
      </c>
      <c r="C8">
        <v>11</v>
      </c>
      <c r="D8">
        <v>13</v>
      </c>
      <c r="E8">
        <v>15</v>
      </c>
    </row>
    <row r="9" spans="1:5" x14ac:dyDescent="0.25">
      <c r="A9" t="s">
        <v>59</v>
      </c>
      <c r="B9" t="s">
        <v>65</v>
      </c>
      <c r="C9">
        <v>14</v>
      </c>
      <c r="D9">
        <v>18</v>
      </c>
      <c r="E9">
        <v>2</v>
      </c>
    </row>
    <row r="10" spans="1:5" x14ac:dyDescent="0.25">
      <c r="A10" t="s">
        <v>59</v>
      </c>
      <c r="B10" t="s">
        <v>66</v>
      </c>
      <c r="C10">
        <v>16</v>
      </c>
      <c r="D10">
        <v>16</v>
      </c>
      <c r="E10">
        <v>11</v>
      </c>
    </row>
    <row r="15" spans="1:5" ht="13.8" thickBot="1" x14ac:dyDescent="0.3"/>
    <row r="16" spans="1:5" x14ac:dyDescent="0.25">
      <c r="A16" s="133" t="s">
        <v>67</v>
      </c>
      <c r="B16" s="134" t="s">
        <v>250</v>
      </c>
      <c r="C16" s="148" t="s">
        <v>253</v>
      </c>
    </row>
    <row r="17" spans="1:3" x14ac:dyDescent="0.25">
      <c r="A17" s="135">
        <v>100</v>
      </c>
      <c r="B17" s="132">
        <v>500</v>
      </c>
      <c r="C17" s="136">
        <f t="shared" ref="C17:C26" ca="1" si="0">0.3*(A17^2)+RAND()*1.5</f>
        <v>3000.9131224150169</v>
      </c>
    </row>
    <row r="18" spans="1:3" x14ac:dyDescent="0.25">
      <c r="A18" s="135">
        <v>200</v>
      </c>
      <c r="B18" s="132">
        <v>1000</v>
      </c>
      <c r="C18" s="136">
        <f t="shared" ca="1" si="0"/>
        <v>12001.302504079415</v>
      </c>
    </row>
    <row r="19" spans="1:3" x14ac:dyDescent="0.25">
      <c r="A19" s="135">
        <v>300</v>
      </c>
      <c r="B19" s="132">
        <v>1500</v>
      </c>
      <c r="C19" s="136">
        <f t="shared" ca="1" si="0"/>
        <v>27001.233506073044</v>
      </c>
    </row>
    <row r="20" spans="1:3" x14ac:dyDescent="0.25">
      <c r="A20" s="135">
        <v>400</v>
      </c>
      <c r="B20" s="132">
        <v>2000</v>
      </c>
      <c r="C20" s="136">
        <f t="shared" ca="1" si="0"/>
        <v>48000.926822720736</v>
      </c>
    </row>
    <row r="21" spans="1:3" x14ac:dyDescent="0.25">
      <c r="A21" s="135">
        <v>500</v>
      </c>
      <c r="B21" s="132">
        <v>2500</v>
      </c>
      <c r="C21" s="136">
        <f t="shared" ca="1" si="0"/>
        <v>75001.422345263476</v>
      </c>
    </row>
    <row r="22" spans="1:3" x14ac:dyDescent="0.25">
      <c r="A22" s="135">
        <v>600</v>
      </c>
      <c r="B22" s="132">
        <v>3000</v>
      </c>
      <c r="C22" s="136">
        <f t="shared" ca="1" si="0"/>
        <v>108000.94324732096</v>
      </c>
    </row>
    <row r="23" spans="1:3" x14ac:dyDescent="0.25">
      <c r="A23" s="135">
        <v>700</v>
      </c>
      <c r="B23" s="132">
        <v>3500</v>
      </c>
      <c r="C23" s="136">
        <f t="shared" ca="1" si="0"/>
        <v>147000.30696880119</v>
      </c>
    </row>
    <row r="24" spans="1:3" x14ac:dyDescent="0.25">
      <c r="A24" s="135">
        <v>800</v>
      </c>
      <c r="B24" s="132">
        <v>4000</v>
      </c>
      <c r="C24" s="136">
        <f t="shared" ca="1" si="0"/>
        <v>192000.71515964007</v>
      </c>
    </row>
    <row r="25" spans="1:3" x14ac:dyDescent="0.25">
      <c r="A25" s="135">
        <v>900</v>
      </c>
      <c r="B25" s="132">
        <v>4500</v>
      </c>
      <c r="C25" s="136">
        <f t="shared" ca="1" si="0"/>
        <v>243000.63814102625</v>
      </c>
    </row>
    <row r="26" spans="1:3" ht="13.8" thickBot="1" x14ac:dyDescent="0.3">
      <c r="A26" s="137">
        <v>1000</v>
      </c>
      <c r="B26" s="138">
        <v>5000</v>
      </c>
      <c r="C26" s="139">
        <f t="shared" ca="1" si="0"/>
        <v>300000.77125717665</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גיליון14">
    <tabColor theme="3"/>
  </sheetPr>
  <dimension ref="A2:H6"/>
  <sheetViews>
    <sheetView rightToLeft="1" tabSelected="1" zoomScale="70" zoomScaleNormal="70" workbookViewId="0">
      <selection activeCell="H2" activeCellId="1" sqref="M20 H2:H6"/>
    </sheetView>
  </sheetViews>
  <sheetFormatPr defaultRowHeight="13.2" x14ac:dyDescent="0.25"/>
  <sheetData>
    <row r="2" spans="1:8" x14ac:dyDescent="0.25">
      <c r="B2" t="s">
        <v>48</v>
      </c>
      <c r="C2" t="s">
        <v>49</v>
      </c>
      <c r="D2" t="s">
        <v>50</v>
      </c>
      <c r="H2" t="s">
        <v>55</v>
      </c>
    </row>
    <row r="3" spans="1:8" x14ac:dyDescent="0.25">
      <c r="A3" t="s">
        <v>51</v>
      </c>
      <c r="B3">
        <v>100</v>
      </c>
      <c r="C3">
        <v>123</v>
      </c>
      <c r="D3">
        <v>110</v>
      </c>
      <c r="H3">
        <v>111</v>
      </c>
    </row>
    <row r="4" spans="1:8" x14ac:dyDescent="0.25">
      <c r="A4" t="s">
        <v>52</v>
      </c>
      <c r="B4">
        <v>125</v>
      </c>
      <c r="C4">
        <v>150</v>
      </c>
      <c r="D4">
        <v>135</v>
      </c>
      <c r="H4">
        <v>130</v>
      </c>
    </row>
    <row r="5" spans="1:8" x14ac:dyDescent="0.25">
      <c r="A5" t="s">
        <v>53</v>
      </c>
      <c r="B5">
        <v>140</v>
      </c>
      <c r="C5">
        <v>105</v>
      </c>
      <c r="D5">
        <v>130</v>
      </c>
      <c r="H5">
        <v>126</v>
      </c>
    </row>
    <row r="6" spans="1:8" x14ac:dyDescent="0.25">
      <c r="A6" t="s">
        <v>54</v>
      </c>
      <c r="B6">
        <v>131</v>
      </c>
      <c r="C6">
        <v>100</v>
      </c>
      <c r="D6">
        <v>115</v>
      </c>
      <c r="H6">
        <v>115</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גיליון18">
    <tabColor theme="9"/>
  </sheetPr>
  <dimension ref="A1:N17"/>
  <sheetViews>
    <sheetView rightToLeft="1" topLeftCell="A19" workbookViewId="0">
      <selection activeCell="N1" sqref="N1:N7"/>
    </sheetView>
  </sheetViews>
  <sheetFormatPr defaultRowHeight="13.2" x14ac:dyDescent="0.25"/>
  <cols>
    <col min="2" max="2" width="10.77734375" customWidth="1"/>
    <col min="3" max="3" width="12" customWidth="1"/>
    <col min="4" max="4" width="9.77734375" customWidth="1"/>
    <col min="5" max="5" width="12.21875" bestFit="1" customWidth="1"/>
    <col min="7" max="7" width="12.77734375" bestFit="1" customWidth="1"/>
  </cols>
  <sheetData>
    <row r="1" spans="1:14" ht="39.6" x14ac:dyDescent="0.25">
      <c r="A1" s="54" t="s">
        <v>69</v>
      </c>
      <c r="B1" s="54" t="s">
        <v>70</v>
      </c>
      <c r="C1" s="54" t="s">
        <v>71</v>
      </c>
      <c r="D1" s="54" t="s">
        <v>72</v>
      </c>
      <c r="E1" s="54" t="s">
        <v>73</v>
      </c>
      <c r="F1" s="54" t="s">
        <v>74</v>
      </c>
      <c r="G1" s="54" t="s">
        <v>75</v>
      </c>
      <c r="H1" s="53"/>
      <c r="I1" s="60" t="s">
        <v>85</v>
      </c>
      <c r="N1" s="113"/>
    </row>
    <row r="2" spans="1:14" x14ac:dyDescent="0.25">
      <c r="A2" s="4" t="s">
        <v>76</v>
      </c>
      <c r="B2" s="77">
        <v>141420</v>
      </c>
      <c r="C2" s="4">
        <v>9.9</v>
      </c>
      <c r="D2" s="4"/>
      <c r="E2" s="77">
        <f t="shared" ref="E2:E7" si="0">B2*D2</f>
        <v>0</v>
      </c>
      <c r="F2" s="57" t="e">
        <f t="shared" ref="F2:F7" si="1">E2/$E$8</f>
        <v>#DIV/0!</v>
      </c>
      <c r="G2" s="4">
        <f t="shared" ref="G2:G7" si="2">C2*D2</f>
        <v>0</v>
      </c>
      <c r="I2" s="3"/>
      <c r="N2" s="4"/>
    </row>
    <row r="3" spans="1:14" x14ac:dyDescent="0.25">
      <c r="A3" s="50" t="s">
        <v>77</v>
      </c>
      <c r="B3" s="78">
        <v>124410</v>
      </c>
      <c r="C3" s="50">
        <v>8.4</v>
      </c>
      <c r="D3" s="50"/>
      <c r="E3" s="78">
        <f t="shared" si="0"/>
        <v>0</v>
      </c>
      <c r="F3" s="58" t="e">
        <f t="shared" si="1"/>
        <v>#DIV/0!</v>
      </c>
      <c r="G3" s="50">
        <f t="shared" si="2"/>
        <v>0</v>
      </c>
      <c r="I3" s="3">
        <f>EXP(I2)</f>
        <v>1</v>
      </c>
      <c r="N3" s="50"/>
    </row>
    <row r="4" spans="1:14" x14ac:dyDescent="0.25">
      <c r="A4" s="50" t="s">
        <v>78</v>
      </c>
      <c r="B4" s="78">
        <v>113100</v>
      </c>
      <c r="C4" s="50">
        <v>8.1999999999999993</v>
      </c>
      <c r="D4" s="50"/>
      <c r="E4" s="78">
        <f t="shared" si="0"/>
        <v>0</v>
      </c>
      <c r="F4" s="58" t="e">
        <f t="shared" si="1"/>
        <v>#DIV/0!</v>
      </c>
      <c r="G4" s="50">
        <f t="shared" si="2"/>
        <v>0</v>
      </c>
      <c r="I4" s="3">
        <f>SIN(I3)</f>
        <v>0.8414709848078965</v>
      </c>
      <c r="N4" s="50"/>
    </row>
    <row r="5" spans="1:14" x14ac:dyDescent="0.25">
      <c r="A5" s="50" t="s">
        <v>79</v>
      </c>
      <c r="B5" s="78">
        <v>70070</v>
      </c>
      <c r="C5" s="50">
        <v>5.0999999999999996</v>
      </c>
      <c r="D5" s="50"/>
      <c r="E5" s="78">
        <f t="shared" si="0"/>
        <v>0</v>
      </c>
      <c r="F5" s="58" t="e">
        <f t="shared" si="1"/>
        <v>#DIV/0!</v>
      </c>
      <c r="G5" s="50">
        <f t="shared" si="2"/>
        <v>0</v>
      </c>
      <c r="N5" s="50"/>
    </row>
    <row r="6" spans="1:14" x14ac:dyDescent="0.25">
      <c r="A6" s="50" t="s">
        <v>80</v>
      </c>
      <c r="B6" s="78">
        <v>53000</v>
      </c>
      <c r="C6" s="50">
        <v>3.7</v>
      </c>
      <c r="D6" s="50"/>
      <c r="E6" s="78">
        <f t="shared" si="0"/>
        <v>0</v>
      </c>
      <c r="F6" s="58" t="e">
        <f t="shared" si="1"/>
        <v>#DIV/0!</v>
      </c>
      <c r="G6" s="50">
        <f t="shared" si="2"/>
        <v>0</v>
      </c>
      <c r="N6" s="50"/>
    </row>
    <row r="7" spans="1:14" x14ac:dyDescent="0.25">
      <c r="A7" s="6" t="s">
        <v>81</v>
      </c>
      <c r="B7" s="79">
        <v>52440</v>
      </c>
      <c r="C7" s="6">
        <v>3.6</v>
      </c>
      <c r="D7" s="6"/>
      <c r="E7" s="79">
        <f t="shared" si="0"/>
        <v>0</v>
      </c>
      <c r="F7" s="59" t="e">
        <f t="shared" si="1"/>
        <v>#DIV/0!</v>
      </c>
      <c r="G7" s="6">
        <f t="shared" si="2"/>
        <v>0</v>
      </c>
      <c r="N7" s="6"/>
    </row>
    <row r="8" spans="1:14" x14ac:dyDescent="0.25">
      <c r="A8" s="52" t="s">
        <v>82</v>
      </c>
      <c r="E8" s="77">
        <f>SUM(E2:E7)</f>
        <v>0</v>
      </c>
      <c r="G8">
        <f>SUM(G2:G7)</f>
        <v>0</v>
      </c>
    </row>
    <row r="9" spans="1:14" x14ac:dyDescent="0.25">
      <c r="A9" s="52" t="s">
        <v>83</v>
      </c>
      <c r="E9" s="78">
        <f>SUM(E4:E5)</f>
        <v>0</v>
      </c>
    </row>
    <row r="11" spans="1:14" x14ac:dyDescent="0.25">
      <c r="B11" s="55" t="s">
        <v>84</v>
      </c>
      <c r="C11" s="109" t="s">
        <v>200</v>
      </c>
      <c r="D11" s="4"/>
      <c r="E11" s="4"/>
      <c r="F11" s="4"/>
      <c r="G11" s="110">
        <v>12000000</v>
      </c>
    </row>
    <row r="12" spans="1:14" x14ac:dyDescent="0.25">
      <c r="B12" s="49"/>
      <c r="C12" s="109" t="s">
        <v>207</v>
      </c>
      <c r="D12" s="50"/>
      <c r="E12" s="50"/>
      <c r="F12" s="50"/>
      <c r="G12" s="80">
        <v>800</v>
      </c>
    </row>
    <row r="13" spans="1:14" x14ac:dyDescent="0.25">
      <c r="B13" s="49"/>
      <c r="C13" s="109" t="s">
        <v>202</v>
      </c>
      <c r="E13" s="111" t="s">
        <v>201</v>
      </c>
      <c r="F13" s="50"/>
      <c r="G13" s="51">
        <v>6</v>
      </c>
    </row>
    <row r="14" spans="1:14" x14ac:dyDescent="0.25">
      <c r="B14" s="49"/>
      <c r="C14" s="111" t="s">
        <v>203</v>
      </c>
      <c r="D14" s="50"/>
      <c r="E14" s="50"/>
      <c r="F14" s="50"/>
      <c r="G14" s="56"/>
    </row>
    <row r="15" spans="1:14" x14ac:dyDescent="0.25">
      <c r="B15" s="5"/>
      <c r="C15" s="112" t="s">
        <v>204</v>
      </c>
      <c r="D15" s="6"/>
      <c r="E15" s="6"/>
      <c r="F15" s="6"/>
      <c r="G15" s="7"/>
    </row>
    <row r="16" spans="1:14" x14ac:dyDescent="0.25">
      <c r="C16" s="109" t="s">
        <v>205</v>
      </c>
    </row>
    <row r="17" spans="3:7" x14ac:dyDescent="0.25">
      <c r="C17" s="109" t="s">
        <v>206</v>
      </c>
      <c r="G17" s="110">
        <v>7500000</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גיליון19">
    <tabColor theme="7"/>
  </sheetPr>
  <dimension ref="A2:Q19"/>
  <sheetViews>
    <sheetView rightToLeft="1" zoomScaleNormal="100" workbookViewId="0">
      <selection activeCell="L23" sqref="L23:P23"/>
    </sheetView>
  </sheetViews>
  <sheetFormatPr defaultRowHeight="13.2" x14ac:dyDescent="0.25"/>
  <cols>
    <col min="2" max="2" width="13.21875" bestFit="1" customWidth="1"/>
    <col min="3" max="3" width="10.21875" bestFit="1" customWidth="1"/>
    <col min="4" max="4" width="15.77734375" bestFit="1" customWidth="1"/>
    <col min="5" max="5" width="18.77734375" bestFit="1" customWidth="1"/>
    <col min="6" max="6" width="20.21875" bestFit="1" customWidth="1"/>
    <col min="7" max="7" width="10" bestFit="1" customWidth="1"/>
  </cols>
  <sheetData>
    <row r="2" spans="1:10" ht="24.6" x14ac:dyDescent="0.4">
      <c r="A2" s="62"/>
      <c r="B2" s="62"/>
      <c r="C2" s="156" t="s">
        <v>86</v>
      </c>
      <c r="D2" s="156"/>
      <c r="E2" s="156"/>
      <c r="F2" s="62"/>
      <c r="G2" s="62"/>
    </row>
    <row r="3" spans="1:10" ht="13.8" thickBot="1" x14ac:dyDescent="0.3"/>
    <row r="4" spans="1:10" ht="13.8" thickBot="1" x14ac:dyDescent="0.3">
      <c r="I4" s="101" t="s">
        <v>112</v>
      </c>
      <c r="J4" s="102" t="s">
        <v>113</v>
      </c>
    </row>
    <row r="5" spans="1:10" ht="13.8" thickBot="1" x14ac:dyDescent="0.3">
      <c r="A5" s="63" t="s">
        <v>87</v>
      </c>
      <c r="B5" s="63" t="s">
        <v>88</v>
      </c>
      <c r="C5" s="63" t="s">
        <v>0</v>
      </c>
      <c r="D5" s="63" t="s">
        <v>89</v>
      </c>
      <c r="E5" s="63" t="s">
        <v>90</v>
      </c>
      <c r="F5" s="83" t="s">
        <v>91</v>
      </c>
      <c r="I5" s="97" t="s">
        <v>91</v>
      </c>
      <c r="J5" s="98" t="s">
        <v>91</v>
      </c>
    </row>
    <row r="6" spans="1:10" x14ac:dyDescent="0.25">
      <c r="A6" s="5" t="s">
        <v>92</v>
      </c>
      <c r="B6" s="6" t="s">
        <v>99</v>
      </c>
      <c r="C6" s="66">
        <v>200</v>
      </c>
      <c r="D6" s="81">
        <v>47.5</v>
      </c>
      <c r="E6" s="76">
        <f>discount(C6,D6)</f>
        <v>950</v>
      </c>
      <c r="F6" s="81">
        <f>C6*D6-E6</f>
        <v>8550</v>
      </c>
      <c r="I6" s="97"/>
      <c r="J6" s="98"/>
    </row>
    <row r="7" spans="1:10" x14ac:dyDescent="0.25">
      <c r="A7" s="5" t="s">
        <v>93</v>
      </c>
      <c r="B7" s="50" t="s">
        <v>100</v>
      </c>
      <c r="C7" s="66">
        <v>25</v>
      </c>
      <c r="D7" s="82">
        <v>51.3</v>
      </c>
      <c r="E7" s="76">
        <f t="shared" ref="E7:E12" si="0">discount(C7,D7)</f>
        <v>0</v>
      </c>
      <c r="F7" s="81">
        <f t="shared" ref="F7:F12" si="1">C7*D7-E7</f>
        <v>1282.5</v>
      </c>
      <c r="I7" s="97"/>
      <c r="J7" s="98"/>
    </row>
    <row r="8" spans="1:10" x14ac:dyDescent="0.25">
      <c r="A8" s="64" t="s">
        <v>94</v>
      </c>
      <c r="B8" s="61" t="s">
        <v>101</v>
      </c>
      <c r="C8" s="65">
        <v>150</v>
      </c>
      <c r="D8" s="82">
        <v>38</v>
      </c>
      <c r="E8" s="76">
        <f t="shared" si="0"/>
        <v>570</v>
      </c>
      <c r="F8" s="81">
        <f t="shared" si="1"/>
        <v>5130</v>
      </c>
      <c r="I8" s="97"/>
      <c r="J8" s="98"/>
    </row>
    <row r="9" spans="1:10" x14ac:dyDescent="0.25">
      <c r="A9" s="64" t="s">
        <v>95</v>
      </c>
      <c r="B9" s="50" t="s">
        <v>102</v>
      </c>
      <c r="C9" s="65">
        <v>80</v>
      </c>
      <c r="D9" s="82">
        <v>42.5</v>
      </c>
      <c r="E9" s="76">
        <f t="shared" si="0"/>
        <v>0</v>
      </c>
      <c r="F9" s="81">
        <f t="shared" si="1"/>
        <v>3400</v>
      </c>
      <c r="I9" s="97"/>
      <c r="J9" s="98"/>
    </row>
    <row r="10" spans="1:10" x14ac:dyDescent="0.25">
      <c r="A10" s="64" t="s">
        <v>96</v>
      </c>
      <c r="B10" s="61" t="s">
        <v>103</v>
      </c>
      <c r="C10" s="65">
        <v>5</v>
      </c>
      <c r="D10" s="82">
        <v>39</v>
      </c>
      <c r="E10" s="76">
        <f t="shared" si="0"/>
        <v>0</v>
      </c>
      <c r="F10" s="81">
        <f t="shared" si="1"/>
        <v>195</v>
      </c>
      <c r="I10" s="97"/>
      <c r="J10" s="98"/>
    </row>
    <row r="11" spans="1:10" x14ac:dyDescent="0.25">
      <c r="A11" s="64" t="s">
        <v>97</v>
      </c>
      <c r="B11" s="50" t="s">
        <v>104</v>
      </c>
      <c r="C11" s="65">
        <v>125</v>
      </c>
      <c r="D11" s="82">
        <v>78</v>
      </c>
      <c r="E11" s="76">
        <f t="shared" si="0"/>
        <v>975</v>
      </c>
      <c r="F11" s="81">
        <f t="shared" si="1"/>
        <v>8775</v>
      </c>
      <c r="I11" s="97"/>
      <c r="J11" s="98"/>
    </row>
    <row r="12" spans="1:10" ht="13.8" thickBot="1" x14ac:dyDescent="0.3">
      <c r="A12" s="64" t="s">
        <v>98</v>
      </c>
      <c r="B12" s="61" t="s">
        <v>105</v>
      </c>
      <c r="C12" s="65">
        <v>75</v>
      </c>
      <c r="D12" s="82">
        <v>72</v>
      </c>
      <c r="E12" s="76">
        <f t="shared" si="0"/>
        <v>0</v>
      </c>
      <c r="F12" s="81">
        <f t="shared" si="1"/>
        <v>5400</v>
      </c>
      <c r="I12" s="99"/>
      <c r="J12" s="100"/>
    </row>
    <row r="13" spans="1:10" ht="13.8" thickBot="1" x14ac:dyDescent="0.3">
      <c r="A13" s="67"/>
      <c r="B13" s="68"/>
      <c r="C13" s="69"/>
      <c r="D13" s="70"/>
      <c r="E13" s="71"/>
      <c r="F13" s="71"/>
      <c r="G13" s="81"/>
    </row>
    <row r="19" spans="12:17" x14ac:dyDescent="0.25">
      <c r="L19" s="114" t="s">
        <v>208</v>
      </c>
      <c r="M19" s="115"/>
      <c r="N19" s="115"/>
      <c r="O19" s="115"/>
      <c r="P19" s="115"/>
      <c r="Q19" s="115"/>
    </row>
  </sheetData>
  <mergeCells count="1">
    <mergeCell ref="C2:E2"/>
  </mergeCells>
  <phoneticPr fontId="0"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12</vt:i4>
      </vt:variant>
      <vt:variant>
        <vt:lpstr>טווחים בעלי שם</vt:lpstr>
      </vt:variant>
      <vt:variant>
        <vt:i4>3</vt:i4>
      </vt:variant>
    </vt:vector>
  </HeadingPairs>
  <TitlesOfParts>
    <vt:vector size="15" baseType="lpstr">
      <vt:lpstr>Sheet1</vt:lpstr>
      <vt:lpstr>נוסחאות </vt:lpstr>
      <vt:lpstr>פונקציות</vt:lpstr>
      <vt:lpstr>פונקציות2</vt:lpstr>
      <vt:lpstr>מיון ו-vlookup</vt:lpstr>
      <vt:lpstr>חזרה מסכמת</vt:lpstr>
      <vt:lpstr>גרפים 1</vt:lpstr>
      <vt:lpstr>גרפים 2</vt:lpstr>
      <vt:lpstr>גרפים 3</vt:lpstr>
      <vt:lpstr>גרפים 4</vt:lpstr>
      <vt:lpstr>חתירה למטרה</vt:lpstr>
      <vt:lpstr>פונקציה מותאמת אישית</vt:lpstr>
      <vt:lpstr>עלות_כללית</vt:lpstr>
      <vt:lpstr>תפוצת_קוראים</vt:lpstr>
      <vt:lpstr>תקציב_עיתון_3_4</vt:lpstr>
    </vt:vector>
  </TitlesOfParts>
  <Manager>רוני ויצמן</Manager>
  <Company>אב"ג המחלקה להנדסת תעו"נ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97</dc:title>
  <dc:subject>קובץ תרגילים</dc:subject>
  <dc:creator>אורלי יהלום ושרייבר גיא</dc:creator>
  <cp:lastModifiedBy>USER</cp:lastModifiedBy>
  <cp:lastPrinted>2007-10-14T13:15:43Z</cp:lastPrinted>
  <dcterms:created xsi:type="dcterms:W3CDTF">1997-12-19T10:16:43Z</dcterms:created>
  <dcterms:modified xsi:type="dcterms:W3CDTF">2019-11-17T17:40:25Z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5545&quot;/&gt;&lt;partner val=&quot;530&quot;/&gt;&lt;CXlWorkbook id=&quot;1&quot;&gt;&lt;m_cxllink/&gt;&lt;/CXlWorkbook&gt;&lt;/root&gt;">
    <vt:lpwstr/>
  </property>
</Properties>
</file>