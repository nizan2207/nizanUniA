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mc:AlternateContent xmlns:mc="http://schemas.openxmlformats.org/markup-compatibility/2006">
    <mc:Choice Requires="x15">
      <x15ac:absPath xmlns:x15ac="http://schemas.microsoft.com/office/spreadsheetml/2010/11/ac" url="C:\Users\USER\Desktop\ניצן אוניברסיטה שנה א\מבוא להנדסת נתונים\"/>
    </mc:Choice>
  </mc:AlternateContent>
  <xr:revisionPtr revIDLastSave="0" documentId="13_ncr:1_{5D5FF845-315A-45F8-83C8-CCF1B9D8A6FE}" xr6:coauthVersionLast="41" xr6:coauthVersionMax="41" xr10:uidLastSave="{00000000-0000-0000-0000-000000000000}"/>
  <bookViews>
    <workbookView xWindow="-108" yWindow="-108" windowWidth="23256" windowHeight="12576" tabRatio="943" activeTab="5" xr2:uid="{00000000-000D-0000-FFFF-FFFF00000000}"/>
  </bookViews>
  <sheets>
    <sheet name="conditional formatting" sheetId="42" r:id="rId1"/>
    <sheet name=" טבלת ציר" sheetId="26" r:id="rId2"/>
    <sheet name="נתונים לטבלת ציר" sheetId="28" r:id="rId3"/>
    <sheet name="תשובות לטבלת ציר" sheetId="29" r:id="rId4"/>
    <sheet name="חיזוי" sheetId="40" r:id="rId5"/>
    <sheet name="עבודה אישית" sheetId="31" r:id="rId6"/>
  </sheets>
  <functionGroups builtInGroupCount="19"/>
  <definedNames>
    <definedName name="Customers" localSheetId="0">#REF!</definedName>
    <definedName name="Customers">#REF!</definedName>
    <definedName name="אינטל___4" localSheetId="0">#REF!</definedName>
    <definedName name="אינטל___4">#REF!</definedName>
    <definedName name="הוצאות_ישירות" localSheetId="0">#REF!</definedName>
    <definedName name="הוצאות_ישירות">#REF!</definedName>
    <definedName name="הכ" localSheetId="0">#REF!</definedName>
    <definedName name="הכ">#REF!</definedName>
    <definedName name="הכנסה" localSheetId="0">#REF!</definedName>
    <definedName name="הכנסה">#REF!</definedName>
    <definedName name="מבנה" localSheetId="0">#REF!</definedName>
    <definedName name="מבנה">#REF!</definedName>
    <definedName name="ממוצע_ביקורים" localSheetId="0">#REF!</definedName>
    <definedName name="ממוצע_ביקורים">#REF!</definedName>
    <definedName name="מצרכים" localSheetId="0">#REF!</definedName>
    <definedName name="מצרכים">#REF!</definedName>
    <definedName name="משכורות" localSheetId="0">#REF!</definedName>
    <definedName name="משכורות">#REF!</definedName>
    <definedName name="עלות_כללית" localSheetId="0">#REF!</definedName>
    <definedName name="עלות_כללית">#REF!</definedName>
    <definedName name="פחת" localSheetId="0">#REF!</definedName>
    <definedName name="פחת">#REF!</definedName>
    <definedName name="פרסום" localSheetId="0">#REF!</definedName>
    <definedName name="פרסום">#REF!</definedName>
    <definedName name="שונות" localSheetId="0">#REF!</definedName>
    <definedName name="שונות">#REF!</definedName>
    <definedName name="שם_משמעותי" localSheetId="0">#REF!</definedName>
    <definedName name="שם_משמעותי">#REF!</definedName>
    <definedName name="תפוצת_קוראים" localSheetId="0">#REF!</definedName>
    <definedName name="תפוצת_קוראים">#REF!</definedName>
    <definedName name="תקציב_עיתון_3_4" localSheetId="0">#REF!</definedName>
    <definedName name="תקציב_עיתון_3_4">#REF!</definedName>
  </definedNames>
  <calcPr calcId="181029"/>
  <pivotCaches>
    <pivotCache cacheId="6" r:id="rId7"/>
  </pivotCaches>
</workbook>
</file>

<file path=xl/calcChain.xml><?xml version="1.0" encoding="utf-8"?>
<calcChain xmlns="http://schemas.openxmlformats.org/spreadsheetml/2006/main">
  <c r="K5" i="31" l="1"/>
  <c r="K6" i="31"/>
  <c r="K7" i="31"/>
  <c r="K8" i="31"/>
  <c r="K9" i="31"/>
  <c r="K10" i="31"/>
  <c r="K11" i="31"/>
  <c r="K12" i="31"/>
  <c r="K13" i="31"/>
  <c r="K14" i="31"/>
  <c r="K15" i="31"/>
  <c r="K16" i="31"/>
  <c r="K17" i="31"/>
  <c r="K18" i="31"/>
  <c r="K19" i="31"/>
  <c r="K20" i="31"/>
  <c r="K21" i="31"/>
  <c r="K22" i="31"/>
  <c r="K23" i="31"/>
  <c r="K4" i="31"/>
  <c r="J5" i="31"/>
  <c r="J6" i="31"/>
  <c r="J7" i="31"/>
  <c r="J8" i="31"/>
  <c r="J9" i="31"/>
  <c r="J10" i="31"/>
  <c r="J11" i="31"/>
  <c r="J12" i="31"/>
  <c r="J13" i="31"/>
  <c r="J14" i="31"/>
  <c r="J15" i="31"/>
  <c r="J16" i="31"/>
  <c r="J17" i="31"/>
  <c r="J18" i="31"/>
  <c r="J19" i="31"/>
  <c r="J20" i="31"/>
  <c r="J21" i="31"/>
  <c r="J22" i="31"/>
  <c r="J23" i="31"/>
  <c r="J4" i="31"/>
  <c r="I5" i="31"/>
  <c r="I6" i="31"/>
  <c r="I7" i="31"/>
  <c r="I8" i="31"/>
  <c r="I9" i="31"/>
  <c r="I10" i="31"/>
  <c r="I11" i="31"/>
  <c r="I12" i="31"/>
  <c r="I13" i="31"/>
  <c r="I14" i="31"/>
  <c r="I15" i="31"/>
  <c r="I16" i="31"/>
  <c r="I17" i="31"/>
  <c r="I18" i="31"/>
  <c r="I19" i="31"/>
  <c r="I20" i="31"/>
  <c r="I21" i="31"/>
  <c r="I22" i="31"/>
  <c r="I23" i="31"/>
  <c r="I4" i="31"/>
</calcChain>
</file>

<file path=xl/sharedStrings.xml><?xml version="1.0" encoding="utf-8"?>
<sst xmlns="http://schemas.openxmlformats.org/spreadsheetml/2006/main" count="517" uniqueCount="184">
  <si>
    <t>חיפה</t>
  </si>
  <si>
    <t>באר שבע</t>
  </si>
  <si>
    <t>שם משפחה</t>
  </si>
  <si>
    <t>אזור</t>
  </si>
  <si>
    <t>יישוב</t>
  </si>
  <si>
    <t>תשלום</t>
  </si>
  <si>
    <t>דרום</t>
  </si>
  <si>
    <t>שחמט</t>
  </si>
  <si>
    <t>מרכז</t>
  </si>
  <si>
    <t>תל אביב</t>
  </si>
  <si>
    <t>בלט</t>
  </si>
  <si>
    <t>צפון</t>
  </si>
  <si>
    <t>אגרוף תאלינדי</t>
  </si>
  <si>
    <t>פתח תקווה</t>
  </si>
  <si>
    <t>שזירת פרחים</t>
  </si>
  <si>
    <t>קרית טבעון</t>
  </si>
  <si>
    <t>גבעתיים</t>
  </si>
  <si>
    <t>שחייה אומנותית</t>
  </si>
  <si>
    <t>קרית שמונה</t>
  </si>
  <si>
    <t>פיסול בשוקולד</t>
  </si>
  <si>
    <t>רהט</t>
  </si>
  <si>
    <t>נתניה</t>
  </si>
  <si>
    <t>מגדל העמק</t>
  </si>
  <si>
    <t>ערד</t>
  </si>
  <si>
    <t>חצור הגלילית</t>
  </si>
  <si>
    <t>חולון</t>
  </si>
  <si>
    <t>אילת</t>
  </si>
  <si>
    <t>בארי</t>
  </si>
  <si>
    <t>שם החוג</t>
  </si>
  <si>
    <t>תשובה לשאלה 1</t>
  </si>
  <si>
    <t>תשובה לשאלה 2</t>
  </si>
  <si>
    <t>תשובה לשאלה 3</t>
  </si>
  <si>
    <t>תשובה לשאלה 4</t>
  </si>
  <si>
    <t>תשובה לשאלה 5</t>
  </si>
  <si>
    <t>מזהה משפחה</t>
  </si>
  <si>
    <t>סימפסון</t>
  </si>
  <si>
    <t>רוטשילד</t>
  </si>
  <si>
    <t>צנעני</t>
  </si>
  <si>
    <t>סופרנו</t>
  </si>
  <si>
    <t>בלפונטה</t>
  </si>
  <si>
    <t>פלנדרס</t>
  </si>
  <si>
    <t>קדמוני</t>
  </si>
  <si>
    <t>סופר-על</t>
  </si>
  <si>
    <t>כהן</t>
  </si>
  <si>
    <t>לוי</t>
  </si>
  <si>
    <t>ארדיטי</t>
  </si>
  <si>
    <t>עינב</t>
  </si>
  <si>
    <t>הקיסרים</t>
  </si>
  <si>
    <t>זהבי</t>
  </si>
  <si>
    <t>חמו</t>
  </si>
  <si>
    <t>טננבאום</t>
  </si>
  <si>
    <t>בנאי</t>
  </si>
  <si>
    <t>חינאוי</t>
  </si>
  <si>
    <t>עידן</t>
  </si>
  <si>
    <t>עזריאל</t>
  </si>
  <si>
    <t>בשן</t>
  </si>
  <si>
    <t>פרדס</t>
  </si>
  <si>
    <t>סביר</t>
  </si>
  <si>
    <t>גולדברג</t>
  </si>
  <si>
    <t>אליפלט</t>
  </si>
  <si>
    <t>פרי</t>
  </si>
  <si>
    <t>נמרוד</t>
  </si>
  <si>
    <t>רבינוביץ'</t>
  </si>
  <si>
    <t>אלייב</t>
  </si>
  <si>
    <t>טיפו</t>
  </si>
  <si>
    <t>זוארץ</t>
  </si>
  <si>
    <t>בר</t>
  </si>
  <si>
    <t>כץ</t>
  </si>
  <si>
    <t>צדיק</t>
  </si>
  <si>
    <t>יונה</t>
  </si>
  <si>
    <t>עופר</t>
  </si>
  <si>
    <t>אבן</t>
  </si>
  <si>
    <t>אסייג</t>
  </si>
  <si>
    <t>מומין</t>
  </si>
  <si>
    <t>רוהר</t>
  </si>
  <si>
    <t>טימלים</t>
  </si>
  <si>
    <t>היונקים</t>
  </si>
  <si>
    <t>מוסקוביץ</t>
  </si>
  <si>
    <t>גולדן</t>
  </si>
  <si>
    <t>פרץ</t>
  </si>
  <si>
    <t>מלול</t>
  </si>
  <si>
    <t>מלבסקי</t>
  </si>
  <si>
    <t>שמידוב</t>
  </si>
  <si>
    <t>קימל</t>
  </si>
  <si>
    <t>אלפסי</t>
  </si>
  <si>
    <t>לוזון</t>
  </si>
  <si>
    <t>אלון</t>
  </si>
  <si>
    <t>מס' רכב</t>
  </si>
  <si>
    <t>סכום תדלוק</t>
  </si>
  <si>
    <t>שם פרטי</t>
  </si>
  <si>
    <t>יוני</t>
  </si>
  <si>
    <t>שרית</t>
  </si>
  <si>
    <t>עידו</t>
  </si>
  <si>
    <t>ורד</t>
  </si>
  <si>
    <t>ענת</t>
  </si>
  <si>
    <t>מיכאל</t>
  </si>
  <si>
    <t>איתמר</t>
  </si>
  <si>
    <t>יואל</t>
  </si>
  <si>
    <t>משה</t>
  </si>
  <si>
    <t>ליטל</t>
  </si>
  <si>
    <t>מאיה</t>
  </si>
  <si>
    <t>דפנה</t>
  </si>
  <si>
    <t>אושרת</t>
  </si>
  <si>
    <t>דינה</t>
  </si>
  <si>
    <t>אשר</t>
  </si>
  <si>
    <t>טוני</t>
  </si>
  <si>
    <t>דודו</t>
  </si>
  <si>
    <t>תום</t>
  </si>
  <si>
    <t>957-35</t>
  </si>
  <si>
    <t>1354-69</t>
  </si>
  <si>
    <t>153488-4</t>
  </si>
  <si>
    <t>384-862</t>
  </si>
  <si>
    <t>4687-6</t>
  </si>
  <si>
    <t>6873-2</t>
  </si>
  <si>
    <t>49876-3</t>
  </si>
  <si>
    <t>321-67</t>
  </si>
  <si>
    <t>2168644-6</t>
  </si>
  <si>
    <t>132465-6</t>
  </si>
  <si>
    <t>65468-46</t>
  </si>
  <si>
    <t>6324638-4</t>
  </si>
  <si>
    <t>321335-6</t>
  </si>
  <si>
    <t>54456-6</t>
  </si>
  <si>
    <t>3213-256</t>
  </si>
  <si>
    <t xml:space="preserve">שם </t>
  </si>
  <si>
    <t>Grand Total</t>
  </si>
  <si>
    <t>Column Labels</t>
  </si>
  <si>
    <t>Row Labels</t>
  </si>
  <si>
    <t>Sum of תשלום</t>
  </si>
  <si>
    <t>Population of City in 10,000s</t>
  </si>
  <si>
    <t>Profit in $10,000s</t>
  </si>
  <si>
    <t xml:space="preserve">תאריך </t>
  </si>
  <si>
    <t>טמפ</t>
  </si>
  <si>
    <t>14/01/2015</t>
  </si>
  <si>
    <t>14/4/2015</t>
  </si>
  <si>
    <t>15/5/2015</t>
  </si>
  <si>
    <t>18/12/2014</t>
  </si>
  <si>
    <t>20/12/2014</t>
  </si>
  <si>
    <t>20/8/2015</t>
  </si>
  <si>
    <t>21/8/2015</t>
  </si>
  <si>
    <t>25/12/2014</t>
  </si>
  <si>
    <t>26/12/2014</t>
  </si>
  <si>
    <t>28/2/2015</t>
  </si>
  <si>
    <t>30/7/2015</t>
  </si>
  <si>
    <t>תוויות שורה</t>
  </si>
  <si>
    <t>סכום כולל</t>
  </si>
  <si>
    <t>תוויות עמודה</t>
  </si>
  <si>
    <t>סכום של תשלום</t>
  </si>
  <si>
    <t>(הכל)</t>
  </si>
  <si>
    <t>ממוצע של תשלום</t>
  </si>
  <si>
    <t>ספירה של מזהה משפחה</t>
  </si>
  <si>
    <t>מינימום של תשלום</t>
  </si>
  <si>
    <t>סכום</t>
  </si>
  <si>
    <t>ממוצע</t>
  </si>
  <si>
    <t>סכום מצטבר</t>
  </si>
  <si>
    <t>ספירה</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</si>
  <si>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</si>
  <si>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</si>
  <si>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</si>
  <si>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</si>
  <si>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</si>
  <si>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</si>
  <si>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</si>
  <si>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</si>
  <si>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</si>
  <si>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</si>
  <si>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</si>
  <si>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</si>
  <si>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</si>
  <si>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</si>
  <si>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</si>
  <si>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</si>
  <si>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</si>
  <si>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</si>
  <si>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</si>
  <si>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</si>
  <si>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</si>
  <si>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</si>
  <si>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</si>
  <si>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</si>
  <si>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RESIDUAL OUTPUT</t>
  </si>
  <si>
    <t>Observation</t>
  </si>
  <si>
    <t>Residuals</t>
  </si>
  <si>
    <t>Predicted Profit in $10,000s</t>
  </si>
  <si>
    <t>מחיר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</si>
</sst>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0"/>
      <name val="Arial"/>
      <charset val="177"/>
    </font>
    <font>
      <b/>
      <sz val="10"/>
      <name val="Arial"/>
      <family val="2"/>
    </font>
    <font>
      <sz val="10"/>
      <name val="Arial"/>
      <family val="2"/>
    </font>
    <font>
      <sz val="8"/>
      <name val="Arial"/>
      <family val="2"/>
    </font>
    <font>
      <b/>
      <sz val="10"/>
      <name val="Arial"/>
      <family val="2"/>
    </font>
    <font>
      <i/>
      <sz val="10"/>
      <name val="Arial"/>
      <family val="2"/>
    </font>
    <font>
      <sz val="11"/>
      <color rgb="FF006100"/>
      <name val="Arial"/>
      <family val="2"/>
      <scheme val="minor"/>
    </font>
    <font>
      <b/>
      <sz val="11"/>
      <color rgb="FF006100"/>
      <name val="Arial"/>
      <family val="2"/>
      <scheme val="minor"/>
    </font>
  </fonts>
  <fills count="3">
    <fill>
      <patternFill patternType="none"/>
    </fill>
    <fill>
      <patternFill patternType="gray125"/>
    </fill>
    <fill>
      <patternFill patternType="solid">
        <fgColor rgb="FFC6EFCE"/>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s>
  <cellStyleXfs count="3">
    <xf numFmtId="0" fontId="0" fillId="0" borderId="0"/>
    <xf numFmtId="0" fontId="2" fillId="0" borderId="0"/>
    <xf numFmtId="0" fontId="6" fillId="2" borderId="0" applyNumberFormat="0" applyBorder="0" applyAlignment="0" applyProtection="0"/>
  </cellStyleXfs>
  <cellXfs count="40">
    <xf numFmtId="0" fontId="0" fillId="0" borderId="0" xfId="0"/>
    <xf numFmtId="0" fontId="0" fillId="0" borderId="0" xfId="0" applyAlignment="1">
      <alignment horizontal="center"/>
    </xf>
    <xf numFmtId="0" fontId="0" fillId="0" borderId="1" xfId="0" applyBorder="1"/>
    <xf numFmtId="0" fontId="0" fillId="0" borderId="0" xfId="0" applyBorder="1"/>
    <xf numFmtId="0" fontId="0" fillId="0" borderId="10" xfId="0" applyBorder="1"/>
    <xf numFmtId="0" fontId="0" fillId="0" borderId="11" xfId="0" applyBorder="1"/>
    <xf numFmtId="0" fontId="0" fillId="0" borderId="3" xfId="0" applyBorder="1"/>
    <xf numFmtId="0" fontId="0" fillId="0" borderId="12" xfId="0" applyBorder="1"/>
    <xf numFmtId="0" fontId="0" fillId="0" borderId="4" xfId="0" applyBorder="1"/>
    <xf numFmtId="0" fontId="0" fillId="0" borderId="13" xfId="0" applyBorder="1"/>
    <xf numFmtId="0" fontId="0" fillId="0" borderId="14" xfId="0" applyBorder="1"/>
    <xf numFmtId="0" fontId="1" fillId="0" borderId="0" xfId="0" applyFont="1" applyAlignment="1">
      <alignment horizontal="center"/>
    </xf>
    <xf numFmtId="2" fontId="0" fillId="0" borderId="0" xfId="0" applyNumberFormat="1"/>
    <xf numFmtId="0" fontId="0" fillId="0" borderId="0" xfId="0" applyNumberFormat="1" applyBorder="1"/>
    <xf numFmtId="0" fontId="1" fillId="0" borderId="2" xfId="0" applyFont="1" applyBorder="1"/>
    <xf numFmtId="0" fontId="0" fillId="0" borderId="5" xfId="0" applyBorder="1"/>
    <xf numFmtId="0" fontId="0" fillId="0" borderId="6" xfId="0" applyBorder="1"/>
    <xf numFmtId="0" fontId="1" fillId="0" borderId="7" xfId="0" applyFont="1" applyBorder="1" applyAlignment="1">
      <alignment horizontal="center"/>
    </xf>
    <xf numFmtId="0" fontId="1" fillId="0" borderId="9" xfId="0" applyFont="1" applyBorder="1" applyAlignment="1">
      <alignment horizontal="center"/>
    </xf>
    <xf numFmtId="0" fontId="0" fillId="0" borderId="0" xfId="0" applyAlignment="1">
      <alignment horizontal="right"/>
    </xf>
    <xf numFmtId="49" fontId="0" fillId="0" borderId="0" xfId="0" applyNumberFormat="1"/>
    <xf numFmtId="0" fontId="0" fillId="0" borderId="0" xfId="0" applyNumberFormat="1"/>
    <xf numFmtId="0" fontId="4" fillId="0" borderId="0" xfId="0" applyFont="1" applyAlignment="1">
      <alignment horizontal="center" vertical="center" wrapText="1"/>
    </xf>
    <xf numFmtId="0" fontId="0" fillId="0" borderId="0" xfId="0" applyAlignment="1">
      <alignment wrapText="1"/>
    </xf>
    <xf numFmtId="0" fontId="1" fillId="0" borderId="8" xfId="0" applyFont="1" applyBorder="1" applyAlignment="1">
      <alignment horizontal="center"/>
    </xf>
    <xf numFmtId="0" fontId="2" fillId="0" borderId="0" xfId="0" applyFont="1"/>
    <xf numFmtId="0" fontId="0" fillId="0" borderId="0" xfId="0" pivotButton="1"/>
    <xf numFmtId="0" fontId="0" fillId="0" borderId="0" xfId="0" applyFill="1" applyBorder="1" applyAlignment="1"/>
    <xf numFmtId="0" fontId="0" fillId="0" borderId="13" xfId="0" applyFill="1" applyBorder="1" applyAlignment="1"/>
    <xf numFmtId="0" fontId="5" fillId="0" borderId="15" xfId="0" applyFont="1" applyFill="1" applyBorder="1" applyAlignment="1">
      <alignment horizontal="center"/>
    </xf>
    <xf numFmtId="0" fontId="5" fillId="0" borderId="0" xfId="0" applyFont="1" applyFill="1" applyBorder="1" applyAlignment="1">
      <alignment horizontal="centerContinuous"/>
    </xf>
    <xf numFmtId="0" fontId="5" fillId="0" borderId="0" xfId="0" applyFont="1" applyFill="1" applyBorder="1" applyAlignment="1">
      <alignment horizontal="center"/>
    </xf>
    <xf numFmtId="0" fontId="0" fillId="0" borderId="10" xfId="0" applyBorder="1" applyAlignment="1">
      <alignment horizontal="right"/>
    </xf>
    <xf numFmtId="0" fontId="0" fillId="0" borderId="12" xfId="0" applyNumberFormat="1" applyBorder="1"/>
    <xf numFmtId="0" fontId="2" fillId="0" borderId="1" xfId="0" applyFont="1" applyBorder="1" applyAlignment="1">
      <alignment horizontal="center"/>
    </xf>
    <xf numFmtId="14" fontId="0" fillId="0" borderId="1" xfId="0" applyNumberFormat="1" applyBorder="1" applyAlignment="1">
      <alignment horizontal="center"/>
    </xf>
    <xf numFmtId="0" fontId="0" fillId="0" borderId="1" xfId="0" applyBorder="1" applyAlignment="1">
      <alignment horizontal="center"/>
    </xf>
    <xf numFmtId="14" fontId="2" fillId="0" borderId="1" xfId="0" applyNumberFormat="1" applyFont="1" applyBorder="1" applyAlignment="1">
      <alignment horizontal="center"/>
    </xf>
    <xf numFmtId="0" fontId="7" fillId="2" borderId="0" xfId="2" applyFont="1" applyAlignment="1">
      <alignment horizontal="center"/>
    </xf>
    <xf numFmtId="0" fontId="5" fillId="0" borderId="15" xfId="0" applyFont="1" applyFill="1" applyBorder="1" applyAlignment="1">
      <alignment horizontal="centerContinuous"/>
    </xf>
  </cellXfs>
  <cellStyles count="3">
    <cellStyle name="Normal" xfId="0" builtinId="0"/>
    <cellStyle name="Normal 2" xfId="1" xr:uid="{00000000-0005-0000-0000-000002000000}"/>
    <cellStyle name="טוב" xfId="2" builtinId="26"/>
  </cellStyles>
  <dxfs count="4">
    <dxf>
      <font>
        <color rgb="FFFF0000"/>
      </font>
    </dxf>
    <dxf>
      <font>
        <color rgb="FF006100"/>
      </font>
      <fill>
        <patternFill>
          <bgColor rgb="FFC6EFCE"/>
        </patternFill>
      </fill>
    </dxf>
    <dxf>
      <font>
        <b/>
        <i val="0"/>
      </font>
      <fill>
        <patternFill>
          <bgColor theme="3" tint="0.39994506668294322"/>
        </patternFill>
      </fill>
    </dxf>
    <dxf>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e-IL"/>
        </a:p>
      </c:txPr>
    </c:title>
    <c:autoTitleDeleted val="0"/>
    <c:plotArea>
      <c:layout/>
      <c:scatterChart>
        <c:scatterStyle val="lineMarker"/>
        <c:varyColors val="0"/>
        <c:ser>
          <c:idx val="0"/>
          <c:order val="0"/>
          <c:tx>
            <c:strRef>
              <c:f>חיזוי!$B$1</c:f>
              <c:strCache>
                <c:ptCount val="1"/>
                <c:pt idx="0">
                  <c:v>Profit in $10,000s</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7.5424321959755031E-3"/>
                  <c:y val="-0.1001450860309128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trendlineLbl>
          </c:trendline>
          <c:xVal>
            <c:numRef>
              <c:f>חיזוי!$A$2:$A$98</c:f>
              <c:numCache>
                <c:formatCode>General</c:formatCode>
                <c:ptCount val="97"/>
                <c:pt idx="0">
                  <c:v>6.1101000000000001</c:v>
                </c:pt>
                <c:pt idx="1">
                  <c:v>5.5277000000000003</c:v>
                </c:pt>
                <c:pt idx="2">
                  <c:v>8.5185999999999993</c:v>
                </c:pt>
                <c:pt idx="3">
                  <c:v>7.0031999999999996</c:v>
                </c:pt>
                <c:pt idx="4">
                  <c:v>5.8597999999999999</c:v>
                </c:pt>
                <c:pt idx="5">
                  <c:v>8.3828999999999994</c:v>
                </c:pt>
                <c:pt idx="6">
                  <c:v>7.4763999999999999</c:v>
                </c:pt>
                <c:pt idx="7">
                  <c:v>8.5780999999999992</c:v>
                </c:pt>
                <c:pt idx="8">
                  <c:v>6.4862000000000002</c:v>
                </c:pt>
                <c:pt idx="9">
                  <c:v>5.0545999999999998</c:v>
                </c:pt>
                <c:pt idx="10">
                  <c:v>5.7107000000000001</c:v>
                </c:pt>
                <c:pt idx="11">
                  <c:v>14.164</c:v>
                </c:pt>
                <c:pt idx="12">
                  <c:v>5.734</c:v>
                </c:pt>
                <c:pt idx="13">
                  <c:v>8.4084000000000003</c:v>
                </c:pt>
                <c:pt idx="14">
                  <c:v>5.6406999999999998</c:v>
                </c:pt>
                <c:pt idx="15">
                  <c:v>5.3794000000000004</c:v>
                </c:pt>
                <c:pt idx="16">
                  <c:v>6.3654000000000002</c:v>
                </c:pt>
                <c:pt idx="17">
                  <c:v>5.1300999999999997</c:v>
                </c:pt>
                <c:pt idx="18">
                  <c:v>6.4295999999999998</c:v>
                </c:pt>
                <c:pt idx="19">
                  <c:v>7.0708000000000002</c:v>
                </c:pt>
                <c:pt idx="20">
                  <c:v>6.1890999999999998</c:v>
                </c:pt>
                <c:pt idx="21">
                  <c:v>20.27</c:v>
                </c:pt>
                <c:pt idx="22">
                  <c:v>5.4901</c:v>
                </c:pt>
                <c:pt idx="23">
                  <c:v>6.3261000000000003</c:v>
                </c:pt>
                <c:pt idx="24">
                  <c:v>5.5648999999999997</c:v>
                </c:pt>
                <c:pt idx="25">
                  <c:v>18.945</c:v>
                </c:pt>
                <c:pt idx="26">
                  <c:v>12.827999999999999</c:v>
                </c:pt>
                <c:pt idx="27">
                  <c:v>10.957000000000001</c:v>
                </c:pt>
                <c:pt idx="28">
                  <c:v>13.176</c:v>
                </c:pt>
                <c:pt idx="29">
                  <c:v>22.202999999999999</c:v>
                </c:pt>
                <c:pt idx="30">
                  <c:v>5.2523999999999997</c:v>
                </c:pt>
                <c:pt idx="31">
                  <c:v>6.5894000000000004</c:v>
                </c:pt>
                <c:pt idx="32">
                  <c:v>9.2482000000000006</c:v>
                </c:pt>
                <c:pt idx="33">
                  <c:v>5.8917999999999999</c:v>
                </c:pt>
                <c:pt idx="34">
                  <c:v>8.2111000000000001</c:v>
                </c:pt>
                <c:pt idx="35">
                  <c:v>7.9333999999999998</c:v>
                </c:pt>
                <c:pt idx="36">
                  <c:v>8.0959000000000003</c:v>
                </c:pt>
                <c:pt idx="37">
                  <c:v>5.6063000000000001</c:v>
                </c:pt>
                <c:pt idx="38">
                  <c:v>12.836</c:v>
                </c:pt>
                <c:pt idx="39">
                  <c:v>6.3533999999999997</c:v>
                </c:pt>
                <c:pt idx="40">
                  <c:v>5.4069000000000003</c:v>
                </c:pt>
                <c:pt idx="41">
                  <c:v>6.8825000000000003</c:v>
                </c:pt>
                <c:pt idx="42">
                  <c:v>11.708</c:v>
                </c:pt>
                <c:pt idx="43">
                  <c:v>5.7736999999999998</c:v>
                </c:pt>
                <c:pt idx="44">
                  <c:v>7.8247</c:v>
                </c:pt>
                <c:pt idx="45">
                  <c:v>7.0930999999999997</c:v>
                </c:pt>
                <c:pt idx="46">
                  <c:v>5.0701999999999998</c:v>
                </c:pt>
                <c:pt idx="47">
                  <c:v>5.8014000000000001</c:v>
                </c:pt>
                <c:pt idx="48">
                  <c:v>11.7</c:v>
                </c:pt>
                <c:pt idx="49">
                  <c:v>5.5415999999999999</c:v>
                </c:pt>
                <c:pt idx="50">
                  <c:v>7.5401999999999996</c:v>
                </c:pt>
                <c:pt idx="51">
                  <c:v>5.3076999999999996</c:v>
                </c:pt>
                <c:pt idx="52">
                  <c:v>7.4238999999999997</c:v>
                </c:pt>
                <c:pt idx="53">
                  <c:v>7.6031000000000004</c:v>
                </c:pt>
                <c:pt idx="54">
                  <c:v>6.3327999999999998</c:v>
                </c:pt>
                <c:pt idx="55">
                  <c:v>6.3589000000000002</c:v>
                </c:pt>
                <c:pt idx="56">
                  <c:v>6.2742000000000004</c:v>
                </c:pt>
                <c:pt idx="57">
                  <c:v>5.6397000000000004</c:v>
                </c:pt>
                <c:pt idx="58">
                  <c:v>9.3102</c:v>
                </c:pt>
                <c:pt idx="59">
                  <c:v>9.4535999999999998</c:v>
                </c:pt>
                <c:pt idx="60">
                  <c:v>8.8254000000000001</c:v>
                </c:pt>
                <c:pt idx="61">
                  <c:v>5.1792999999999996</c:v>
                </c:pt>
                <c:pt idx="62">
                  <c:v>21.279</c:v>
                </c:pt>
                <c:pt idx="63">
                  <c:v>14.907999999999999</c:v>
                </c:pt>
                <c:pt idx="64">
                  <c:v>18.959</c:v>
                </c:pt>
                <c:pt idx="65">
                  <c:v>7.2182000000000004</c:v>
                </c:pt>
                <c:pt idx="66">
                  <c:v>8.2950999999999997</c:v>
                </c:pt>
                <c:pt idx="67">
                  <c:v>10.236000000000001</c:v>
                </c:pt>
                <c:pt idx="68">
                  <c:v>5.4993999999999996</c:v>
                </c:pt>
                <c:pt idx="69">
                  <c:v>20.341000000000001</c:v>
                </c:pt>
                <c:pt idx="70">
                  <c:v>10.135999999999999</c:v>
                </c:pt>
                <c:pt idx="71">
                  <c:v>7.3345000000000002</c:v>
                </c:pt>
                <c:pt idx="72">
                  <c:v>6.0061999999999998</c:v>
                </c:pt>
                <c:pt idx="73">
                  <c:v>7.2259000000000002</c:v>
                </c:pt>
                <c:pt idx="74">
                  <c:v>5.0269000000000004</c:v>
                </c:pt>
                <c:pt idx="75">
                  <c:v>6.5479000000000003</c:v>
                </c:pt>
                <c:pt idx="76">
                  <c:v>7.5385999999999997</c:v>
                </c:pt>
                <c:pt idx="77">
                  <c:v>5.0365000000000002</c:v>
                </c:pt>
                <c:pt idx="78">
                  <c:v>10.273999999999999</c:v>
                </c:pt>
                <c:pt idx="79">
                  <c:v>5.1077000000000004</c:v>
                </c:pt>
                <c:pt idx="80">
                  <c:v>5.7291999999999996</c:v>
                </c:pt>
                <c:pt idx="81">
                  <c:v>5.1883999999999997</c:v>
                </c:pt>
                <c:pt idx="82">
                  <c:v>6.3556999999999997</c:v>
                </c:pt>
                <c:pt idx="83">
                  <c:v>9.7687000000000008</c:v>
                </c:pt>
                <c:pt idx="84">
                  <c:v>6.5159000000000002</c:v>
                </c:pt>
                <c:pt idx="85">
                  <c:v>8.5172000000000008</c:v>
                </c:pt>
                <c:pt idx="86">
                  <c:v>9.1801999999999992</c:v>
                </c:pt>
                <c:pt idx="87">
                  <c:v>6.0019999999999998</c:v>
                </c:pt>
                <c:pt idx="88">
                  <c:v>5.5204000000000004</c:v>
                </c:pt>
                <c:pt idx="89">
                  <c:v>5.0594000000000001</c:v>
                </c:pt>
                <c:pt idx="90">
                  <c:v>5.7077</c:v>
                </c:pt>
                <c:pt idx="91">
                  <c:v>7.6365999999999996</c:v>
                </c:pt>
                <c:pt idx="92">
                  <c:v>5.8707000000000003</c:v>
                </c:pt>
                <c:pt idx="93">
                  <c:v>5.3053999999999997</c:v>
                </c:pt>
                <c:pt idx="94">
                  <c:v>8.2934000000000001</c:v>
                </c:pt>
                <c:pt idx="95">
                  <c:v>13.394</c:v>
                </c:pt>
                <c:pt idx="96">
                  <c:v>5.4368999999999996</c:v>
                </c:pt>
              </c:numCache>
            </c:numRef>
          </c:xVal>
          <c:yVal>
            <c:numRef>
              <c:f>חיזוי!$B$2:$B$98</c:f>
              <c:numCache>
                <c:formatCode>General</c:formatCode>
                <c:ptCount val="97"/>
                <c:pt idx="0">
                  <c:v>17.591999999999999</c:v>
                </c:pt>
                <c:pt idx="1">
                  <c:v>9.1302000000000003</c:v>
                </c:pt>
                <c:pt idx="2">
                  <c:v>13.662000000000001</c:v>
                </c:pt>
                <c:pt idx="3">
                  <c:v>11.853999999999999</c:v>
                </c:pt>
                <c:pt idx="4">
                  <c:v>6.8232999999999997</c:v>
                </c:pt>
                <c:pt idx="5">
                  <c:v>11.885999999999999</c:v>
                </c:pt>
                <c:pt idx="6">
                  <c:v>4.3483000000000001</c:v>
                </c:pt>
                <c:pt idx="7">
                  <c:v>12</c:v>
                </c:pt>
                <c:pt idx="8">
                  <c:v>6.5987</c:v>
                </c:pt>
                <c:pt idx="9">
                  <c:v>3.8166000000000002</c:v>
                </c:pt>
                <c:pt idx="10">
                  <c:v>3.2522000000000002</c:v>
                </c:pt>
                <c:pt idx="11">
                  <c:v>15.505000000000001</c:v>
                </c:pt>
                <c:pt idx="12">
                  <c:v>3.1551</c:v>
                </c:pt>
                <c:pt idx="13">
                  <c:v>7.2257999999999996</c:v>
                </c:pt>
                <c:pt idx="14">
                  <c:v>0.71618000000000004</c:v>
                </c:pt>
                <c:pt idx="15">
                  <c:v>3.5129000000000001</c:v>
                </c:pt>
                <c:pt idx="16">
                  <c:v>5.3048000000000002</c:v>
                </c:pt>
                <c:pt idx="17">
                  <c:v>0.56076999999999999</c:v>
                </c:pt>
                <c:pt idx="18">
                  <c:v>3.6518000000000002</c:v>
                </c:pt>
                <c:pt idx="19">
                  <c:v>5.3893000000000004</c:v>
                </c:pt>
                <c:pt idx="20">
                  <c:v>3.1385999999999998</c:v>
                </c:pt>
                <c:pt idx="21">
                  <c:v>21.766999999999999</c:v>
                </c:pt>
                <c:pt idx="22">
                  <c:v>4.2629999999999999</c:v>
                </c:pt>
                <c:pt idx="23">
                  <c:v>5.1875</c:v>
                </c:pt>
                <c:pt idx="24">
                  <c:v>3.0825</c:v>
                </c:pt>
                <c:pt idx="25">
                  <c:v>22.638000000000002</c:v>
                </c:pt>
                <c:pt idx="26">
                  <c:v>13.500999999999999</c:v>
                </c:pt>
                <c:pt idx="27">
                  <c:v>7.0467000000000004</c:v>
                </c:pt>
                <c:pt idx="28">
                  <c:v>14.692</c:v>
                </c:pt>
                <c:pt idx="29">
                  <c:v>24.146999999999998</c:v>
                </c:pt>
                <c:pt idx="30">
                  <c:v>-1.22</c:v>
                </c:pt>
                <c:pt idx="31">
                  <c:v>5.9965999999999999</c:v>
                </c:pt>
                <c:pt idx="32">
                  <c:v>12.134</c:v>
                </c:pt>
                <c:pt idx="33">
                  <c:v>1.8494999999999999</c:v>
                </c:pt>
                <c:pt idx="34">
                  <c:v>6.5426000000000002</c:v>
                </c:pt>
                <c:pt idx="35">
                  <c:v>4.5622999999999996</c:v>
                </c:pt>
                <c:pt idx="36">
                  <c:v>4.1163999999999996</c:v>
                </c:pt>
                <c:pt idx="37">
                  <c:v>3.3927999999999998</c:v>
                </c:pt>
                <c:pt idx="38">
                  <c:v>10.117000000000001</c:v>
                </c:pt>
                <c:pt idx="39">
                  <c:v>5.4973999999999998</c:v>
                </c:pt>
                <c:pt idx="40">
                  <c:v>0.55657000000000001</c:v>
                </c:pt>
                <c:pt idx="41">
                  <c:v>3.9115000000000002</c:v>
                </c:pt>
                <c:pt idx="42">
                  <c:v>5.3853999999999997</c:v>
                </c:pt>
                <c:pt idx="43">
                  <c:v>2.4405999999999999</c:v>
                </c:pt>
                <c:pt idx="44">
                  <c:v>6.7317999999999998</c:v>
                </c:pt>
                <c:pt idx="45">
                  <c:v>1.0463</c:v>
                </c:pt>
                <c:pt idx="46">
                  <c:v>5.1337000000000002</c:v>
                </c:pt>
                <c:pt idx="47">
                  <c:v>1.8440000000000001</c:v>
                </c:pt>
                <c:pt idx="48">
                  <c:v>8.0043000000000006</c:v>
                </c:pt>
                <c:pt idx="49">
                  <c:v>1.0179</c:v>
                </c:pt>
                <c:pt idx="50">
                  <c:v>6.7504</c:v>
                </c:pt>
                <c:pt idx="51">
                  <c:v>1.8395999999999999</c:v>
                </c:pt>
                <c:pt idx="52">
                  <c:v>4.2885</c:v>
                </c:pt>
                <c:pt idx="53">
                  <c:v>4.9981</c:v>
                </c:pt>
                <c:pt idx="54">
                  <c:v>1.4233</c:v>
                </c:pt>
                <c:pt idx="55">
                  <c:v>-1.4211</c:v>
                </c:pt>
                <c:pt idx="56">
                  <c:v>2.4756</c:v>
                </c:pt>
                <c:pt idx="57">
                  <c:v>4.6041999999999996</c:v>
                </c:pt>
                <c:pt idx="58">
                  <c:v>3.9624000000000001</c:v>
                </c:pt>
                <c:pt idx="59">
                  <c:v>5.4141000000000004</c:v>
                </c:pt>
                <c:pt idx="60">
                  <c:v>5.1694000000000004</c:v>
                </c:pt>
                <c:pt idx="61">
                  <c:v>-0.74278999999999995</c:v>
                </c:pt>
                <c:pt idx="62">
                  <c:v>17.928999999999998</c:v>
                </c:pt>
                <c:pt idx="63">
                  <c:v>12.054</c:v>
                </c:pt>
                <c:pt idx="64">
                  <c:v>17.053999999999998</c:v>
                </c:pt>
                <c:pt idx="65">
                  <c:v>4.8852000000000002</c:v>
                </c:pt>
                <c:pt idx="66">
                  <c:v>5.7442000000000002</c:v>
                </c:pt>
                <c:pt idx="67">
                  <c:v>7.7754000000000003</c:v>
                </c:pt>
                <c:pt idx="68">
                  <c:v>1.0173000000000001</c:v>
                </c:pt>
                <c:pt idx="69">
                  <c:v>20.992000000000001</c:v>
                </c:pt>
                <c:pt idx="70">
                  <c:v>6.6798999999999999</c:v>
                </c:pt>
                <c:pt idx="71">
                  <c:v>4.0259</c:v>
                </c:pt>
                <c:pt idx="72">
                  <c:v>1.2784</c:v>
                </c:pt>
                <c:pt idx="73">
                  <c:v>3.3411</c:v>
                </c:pt>
                <c:pt idx="74">
                  <c:v>-2.6806999999999999</c:v>
                </c:pt>
                <c:pt idx="75">
                  <c:v>0.29677999999999999</c:v>
                </c:pt>
                <c:pt idx="76">
                  <c:v>3.8845000000000001</c:v>
                </c:pt>
                <c:pt idx="77">
                  <c:v>5.7013999999999996</c:v>
                </c:pt>
                <c:pt idx="78">
                  <c:v>6.7526000000000002</c:v>
                </c:pt>
                <c:pt idx="79">
                  <c:v>2.0575999999999999</c:v>
                </c:pt>
                <c:pt idx="80">
                  <c:v>0.47953000000000001</c:v>
                </c:pt>
                <c:pt idx="81">
                  <c:v>0.20421</c:v>
                </c:pt>
                <c:pt idx="82">
                  <c:v>0.67861000000000005</c:v>
                </c:pt>
                <c:pt idx="83">
                  <c:v>7.5434999999999999</c:v>
                </c:pt>
                <c:pt idx="84">
                  <c:v>5.3436000000000003</c:v>
                </c:pt>
                <c:pt idx="85">
                  <c:v>4.2415000000000003</c:v>
                </c:pt>
                <c:pt idx="86">
                  <c:v>6.7980999999999998</c:v>
                </c:pt>
                <c:pt idx="87">
                  <c:v>0.92695000000000005</c:v>
                </c:pt>
                <c:pt idx="88">
                  <c:v>0.152</c:v>
                </c:pt>
                <c:pt idx="89">
                  <c:v>2.8214000000000001</c:v>
                </c:pt>
                <c:pt idx="90">
                  <c:v>1.8451</c:v>
                </c:pt>
                <c:pt idx="91">
                  <c:v>4.2958999999999996</c:v>
                </c:pt>
                <c:pt idx="92">
                  <c:v>7.2028999999999996</c:v>
                </c:pt>
                <c:pt idx="93">
                  <c:v>1.9869000000000001</c:v>
                </c:pt>
                <c:pt idx="94">
                  <c:v>0.14454</c:v>
                </c:pt>
                <c:pt idx="95">
                  <c:v>9.0550999999999995</c:v>
                </c:pt>
                <c:pt idx="96">
                  <c:v>0.61704999999999999</c:v>
                </c:pt>
              </c:numCache>
            </c:numRef>
          </c:yVal>
          <c:smooth val="0"/>
          <c:extLst>
            <c:ext xmlns:c16="http://schemas.microsoft.com/office/drawing/2014/chart" uri="{C3380CC4-5D6E-409C-BE32-E72D297353CC}">
              <c16:uniqueId val="{00000000-230F-4C4E-949D-961E0F39A1EC}"/>
            </c:ext>
          </c:extLst>
        </c:ser>
        <c:dLbls>
          <c:showLegendKey val="0"/>
          <c:showVal val="0"/>
          <c:showCatName val="0"/>
          <c:showSerName val="0"/>
          <c:showPercent val="0"/>
          <c:showBubbleSize val="0"/>
        </c:dLbls>
        <c:axId val="423901432"/>
        <c:axId val="423903072"/>
      </c:scatterChart>
      <c:valAx>
        <c:axId val="4239014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423903072"/>
        <c:crosses val="autoZero"/>
        <c:crossBetween val="midCat"/>
      </c:valAx>
      <c:valAx>
        <c:axId val="423903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e-IL"/>
          </a:p>
        </c:txPr>
        <c:crossAx val="4239014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e-I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342900</xdr:colOff>
      <xdr:row>26</xdr:row>
      <xdr:rowOff>85726</xdr:rowOff>
    </xdr:from>
    <xdr:to>
      <xdr:col>14</xdr:col>
      <xdr:colOff>295275</xdr:colOff>
      <xdr:row>37</xdr:row>
      <xdr:rowOff>104775</xdr:rowOff>
    </xdr:to>
    <xdr:sp macro="" textlink="">
      <xdr:nvSpPr>
        <xdr:cNvPr id="2" name="Text Box 2">
          <a:extLst>
            <a:ext uri="{FF2B5EF4-FFF2-40B4-BE49-F238E27FC236}">
              <a16:creationId xmlns:a16="http://schemas.microsoft.com/office/drawing/2014/main" id="{00000000-0008-0000-0000-000002000000}"/>
            </a:ext>
          </a:extLst>
        </xdr:cNvPr>
        <xdr:cNvSpPr txBox="1">
          <a:spLocks noChangeArrowheads="1"/>
        </xdr:cNvSpPr>
      </xdr:nvSpPr>
      <xdr:spPr bwMode="auto">
        <a:xfrm>
          <a:off x="9978856725" y="4324351"/>
          <a:ext cx="7200900" cy="1800224"/>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1">
            <a:defRPr sz="1000"/>
          </a:pPr>
          <a:r>
            <a:rPr lang="he-IL" sz="1400" b="0" i="0" u="none" strike="noStrike" baseline="0">
              <a:solidFill>
                <a:srgbClr val="800000"/>
              </a:solidFill>
              <a:latin typeface="Arial"/>
              <a:cs typeface="Arial"/>
            </a:rPr>
            <a:t>עיצוב מותנה</a:t>
          </a:r>
        </a:p>
        <a:p>
          <a:pPr algn="r" rtl="1">
            <a:defRPr sz="1000"/>
          </a:pPr>
          <a:endParaRPr lang="he-IL" sz="1000" b="0" i="0" u="none" strike="noStrike" baseline="0">
            <a:solidFill>
              <a:srgbClr val="000000"/>
            </a:solidFill>
            <a:latin typeface="Arial"/>
            <a:cs typeface="Arial"/>
          </a:endParaRPr>
        </a:p>
        <a:p>
          <a:pPr algn="r" rtl="1">
            <a:defRPr sz="1000"/>
          </a:pPr>
          <a:r>
            <a:rPr lang="he-IL" sz="1400" b="0" i="0" u="sng" strike="noStrike" baseline="0">
              <a:solidFill>
                <a:srgbClr val="000000"/>
              </a:solidFill>
              <a:latin typeface="Arial"/>
              <a:cs typeface="Arial"/>
            </a:rPr>
            <a:t>תרגילים</a:t>
          </a:r>
          <a:endParaRPr lang="he-IL" sz="1000" b="0" i="0" u="none" strike="noStrike" baseline="0">
            <a:solidFill>
              <a:srgbClr val="000000"/>
            </a:solidFill>
            <a:latin typeface="Arial"/>
            <a:cs typeface="Arial"/>
          </a:endParaRPr>
        </a:p>
        <a:p>
          <a:pPr algn="r" rtl="1">
            <a:defRPr sz="1000"/>
          </a:pPr>
          <a:endParaRPr lang="he-IL" sz="1000" b="1" i="0" u="none" strike="noStrike" baseline="0">
            <a:solidFill>
              <a:srgbClr val="000000"/>
            </a:solidFill>
            <a:latin typeface="Arial"/>
            <a:cs typeface="Arial"/>
          </a:endParaRPr>
        </a:p>
        <a:p>
          <a:pPr algn="r" rtl="1">
            <a:defRPr sz="1000"/>
          </a:pPr>
          <a:r>
            <a:rPr lang="he-IL" sz="1050" b="0" i="0" u="none" strike="noStrike" baseline="0">
              <a:solidFill>
                <a:srgbClr val="000000"/>
              </a:solidFill>
              <a:latin typeface="Arial"/>
              <a:cs typeface="Arial"/>
            </a:rPr>
            <a:t>1. צבעו את עמודת הטמפרטורה באמצעות החלה של 3 תנאים של עיצוב מותנה, באופן הבא: ערכים החל מ-35 מעלות יהיו אדומים, ערכים מתחת ל-20 מעלות יהיו עם רקע תכלת וטקסט מודגש, וערכים בטווח שבין 20 מעלות ל-35 מעלות יהיו ירוקים.</a:t>
          </a:r>
        </a:p>
        <a:p>
          <a:pPr algn="r" rtl="1">
            <a:defRPr sz="1000"/>
          </a:pPr>
          <a:r>
            <a:rPr lang="he-IL" sz="1050" b="0" i="0" u="none" strike="noStrike" baseline="0">
              <a:solidFill>
                <a:srgbClr val="000000"/>
              </a:solidFill>
              <a:latin typeface="Arial"/>
              <a:cs typeface="Arial"/>
            </a:rPr>
            <a:t>2. </a:t>
          </a:r>
          <a:r>
            <a:rPr lang="he-IL" sz="1050" b="0" i="0" baseline="0">
              <a:effectLst/>
              <a:latin typeface="+mn-lt"/>
              <a:ea typeface="+mn-ea"/>
              <a:cs typeface="+mn-cs"/>
            </a:rPr>
            <a:t>צבעו את עמודת הטמפרטורה באמצעות סרגל צבעים של אדום-לבן-כחול. שאלו את עצמכם מדוע נצבע כל תא בצבע בו הוא נצבע.</a:t>
          </a:r>
        </a:p>
        <a:p>
          <a:pPr algn="r" rtl="1">
            <a:defRPr sz="1000"/>
          </a:pPr>
          <a:r>
            <a:rPr lang="he-IL" sz="1050" b="0" i="0" u="none" strike="noStrike" baseline="0">
              <a:solidFill>
                <a:srgbClr val="000000"/>
              </a:solidFill>
              <a:effectLst/>
              <a:latin typeface="+mn-lt"/>
              <a:ea typeface="+mn-ea"/>
              <a:cs typeface="+mn-cs"/>
            </a:rPr>
            <a:t>3. בעמודת הטמפרטורה, צבעו את 10 הערכים העליונים כך שהטקסט יהיה אדום.</a:t>
          </a:r>
          <a:endParaRPr lang="he-IL" sz="1050" b="0" i="0" u="none" strike="noStrike" baseline="0">
            <a:solidFill>
              <a:srgbClr val="000000"/>
            </a:solidFill>
            <a:latin typeface="Arial"/>
            <a:cs typeface="Arial"/>
          </a:endParaRPr>
        </a:p>
        <a:p>
          <a:pPr algn="r" rtl="1">
            <a:defRPr sz="1000"/>
          </a:pPr>
          <a:r>
            <a:rPr lang="he-IL" sz="1050" b="0" i="0" u="none" strike="noStrike" baseline="0">
              <a:solidFill>
                <a:srgbClr val="000000"/>
              </a:solidFill>
              <a:latin typeface="Arial"/>
              <a:cs typeface="Arial"/>
            </a:rPr>
            <a:t>4. בעמודת הטמפרטורה, הוסיפו ערכת סמלים כיוונית של 3 משולשים.</a:t>
          </a:r>
        </a:p>
        <a:p>
          <a:pPr algn="r" rtl="1">
            <a:defRPr sz="1000"/>
          </a:pPr>
          <a:r>
            <a:rPr lang="he-IL" sz="1050" b="0" i="0" u="none" strike="noStrike" baseline="0">
              <a:solidFill>
                <a:srgbClr val="000000"/>
              </a:solidFill>
              <a:latin typeface="Arial"/>
              <a:cs typeface="Arial"/>
            </a:rPr>
            <a:t>5. </a:t>
          </a:r>
          <a:r>
            <a:rPr lang="he-IL" sz="1050" b="0" i="0" baseline="0">
              <a:effectLst/>
              <a:latin typeface="+mn-lt"/>
              <a:ea typeface="+mn-ea"/>
              <a:cs typeface="+mn-cs"/>
            </a:rPr>
            <a:t>בעמודת הטמפרטורה, הוסיפו עיצוב מותנה של סרגל כלים במילוי הדרגתי או מלא, לבחירתכם.</a:t>
          </a:r>
          <a:endParaRPr lang="he-IL" sz="1050" b="0" i="0" u="none" strike="noStrike" baseline="0">
            <a:solidFill>
              <a:srgbClr val="000000"/>
            </a:solidFill>
            <a:latin typeface="Arial"/>
            <a:cs typeface="Arial"/>
          </a:endParaRPr>
        </a:p>
        <a:p>
          <a:pPr algn="r" rtl="1">
            <a:defRPr sz="1000"/>
          </a:pPr>
          <a:endParaRPr lang="he-IL" sz="100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600075</xdr:colOff>
      <xdr:row>24</xdr:row>
      <xdr:rowOff>85725</xdr:rowOff>
    </xdr:from>
    <xdr:to>
      <xdr:col>14</xdr:col>
      <xdr:colOff>1009650</xdr:colOff>
      <xdr:row>35</xdr:row>
      <xdr:rowOff>66675</xdr:rowOff>
    </xdr:to>
    <xdr:sp macro="" textlink="">
      <xdr:nvSpPr>
        <xdr:cNvPr id="25601" name="Text Box 1">
          <a:extLst>
            <a:ext uri="{FF2B5EF4-FFF2-40B4-BE49-F238E27FC236}">
              <a16:creationId xmlns:a16="http://schemas.microsoft.com/office/drawing/2014/main" id="{00000000-0008-0000-0000-000001640000}"/>
            </a:ext>
          </a:extLst>
        </xdr:cNvPr>
        <xdr:cNvSpPr txBox="1">
          <a:spLocks noChangeArrowheads="1"/>
        </xdr:cNvSpPr>
      </xdr:nvSpPr>
      <xdr:spPr bwMode="auto">
        <a:xfrm>
          <a:off x="9981085575" y="3971925"/>
          <a:ext cx="5676900" cy="1762125"/>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1">
            <a:defRPr sz="1000"/>
          </a:pPr>
          <a:r>
            <a:rPr lang="he-IL" sz="1400" b="0" i="0" u="none" strike="noStrike" baseline="0">
              <a:solidFill>
                <a:srgbClr val="800000"/>
              </a:solidFill>
              <a:latin typeface="Arial"/>
              <a:cs typeface="Arial"/>
            </a:rPr>
            <a:t>טבלת ציר</a:t>
          </a:r>
        </a:p>
        <a:p>
          <a:pPr algn="r" rtl="1">
            <a:defRPr sz="1000"/>
          </a:pPr>
          <a:endParaRPr lang="he-IL" sz="1000" b="0" i="0" u="none" strike="noStrike" baseline="0">
            <a:solidFill>
              <a:srgbClr val="000000"/>
            </a:solidFill>
            <a:latin typeface="Arial"/>
            <a:cs typeface="Arial"/>
          </a:endParaRPr>
        </a:p>
        <a:p>
          <a:pPr algn="r" rtl="1">
            <a:defRPr sz="1000"/>
          </a:pPr>
          <a:r>
            <a:rPr lang="he-IL" sz="1000" b="1" i="0" u="sng" strike="noStrike" baseline="0">
              <a:solidFill>
                <a:srgbClr val="000000"/>
              </a:solidFill>
              <a:latin typeface="Arial"/>
              <a:cs typeface="Arial"/>
            </a:rPr>
            <a:t>ציר</a:t>
          </a:r>
          <a:r>
            <a:rPr lang="he-IL" sz="1000" b="0" i="0" u="none" strike="noStrike" baseline="0">
              <a:solidFill>
                <a:srgbClr val="000000"/>
              </a:solidFill>
              <a:latin typeface="Arial"/>
              <a:cs typeface="Arial"/>
            </a:rPr>
            <a:t> - מימד בטבלת ציר כגון עמודה, שורה או עמוד.</a:t>
          </a:r>
        </a:p>
        <a:p>
          <a:pPr algn="r" rtl="1">
            <a:defRPr sz="1000"/>
          </a:pPr>
          <a:r>
            <a:rPr lang="he-IL" sz="1000" b="1" i="0" u="sng" strike="noStrike" baseline="0">
              <a:solidFill>
                <a:srgbClr val="000000"/>
              </a:solidFill>
              <a:latin typeface="Arial"/>
              <a:cs typeface="Arial"/>
            </a:rPr>
            <a:t>מקור נתונים</a:t>
          </a:r>
          <a:r>
            <a:rPr lang="he-IL" sz="1000" b="0" i="0" u="none" strike="noStrike" baseline="0">
              <a:solidFill>
                <a:srgbClr val="000000"/>
              </a:solidFill>
              <a:latin typeface="Arial"/>
              <a:cs typeface="Arial"/>
            </a:rPr>
            <a:t> - רשימה או טבלה ממנה מופקת טבלת ציר.</a:t>
          </a:r>
        </a:p>
        <a:p>
          <a:pPr algn="r" rtl="1">
            <a:defRPr sz="1000"/>
          </a:pPr>
          <a:r>
            <a:rPr lang="he-IL" sz="1000" b="1" i="0" u="sng" strike="noStrike" baseline="0">
              <a:solidFill>
                <a:srgbClr val="000000"/>
              </a:solidFill>
              <a:latin typeface="Arial"/>
              <a:cs typeface="Arial"/>
            </a:rPr>
            <a:t>שדה</a:t>
          </a:r>
          <a:r>
            <a:rPr lang="he-IL" sz="1000" b="0" i="0" u="none" strike="noStrike" baseline="0">
              <a:solidFill>
                <a:srgbClr val="000000"/>
              </a:solidFill>
              <a:latin typeface="Arial"/>
              <a:cs typeface="Arial"/>
            </a:rPr>
            <a:t> - קטגורית מידע המקבילה לעמודה ברשימה.</a:t>
          </a:r>
        </a:p>
        <a:p>
          <a:pPr algn="r" rtl="1">
            <a:defRPr sz="1000"/>
          </a:pPr>
          <a:r>
            <a:rPr lang="he-IL" sz="1000" b="1" i="0" u="sng" strike="noStrike" baseline="0">
              <a:solidFill>
                <a:srgbClr val="000000"/>
              </a:solidFill>
              <a:latin typeface="Arial"/>
              <a:cs typeface="Arial"/>
            </a:rPr>
            <a:t>כותרת שדה </a:t>
          </a:r>
          <a:r>
            <a:rPr lang="he-IL" sz="1000" b="0" i="0" u="none" strike="noStrike" baseline="0">
              <a:solidFill>
                <a:srgbClr val="000000"/>
              </a:solidFill>
              <a:latin typeface="Arial"/>
              <a:cs typeface="Arial"/>
            </a:rPr>
            <a:t>- תווית המתארת את תוכן השדה. ניתן לסובב טבלת ציר ע"י גרירת כותרות השדות.</a:t>
          </a:r>
        </a:p>
        <a:p>
          <a:pPr algn="r" rtl="1">
            <a:defRPr sz="1000"/>
          </a:pPr>
          <a:r>
            <a:rPr lang="he-IL" sz="1000" b="1" i="0" u="sng" strike="noStrike" baseline="0">
              <a:solidFill>
                <a:srgbClr val="000000"/>
              </a:solidFill>
              <a:latin typeface="Arial"/>
              <a:cs typeface="Arial"/>
            </a:rPr>
            <a:t>פריט</a:t>
          </a:r>
          <a:r>
            <a:rPr lang="he-IL" sz="1000" b="0" i="0" u="none" strike="noStrike" baseline="0">
              <a:solidFill>
                <a:srgbClr val="000000"/>
              </a:solidFill>
              <a:latin typeface="Arial"/>
              <a:cs typeface="Arial"/>
            </a:rPr>
            <a:t> - מרכיב בשדה.</a:t>
          </a:r>
        </a:p>
        <a:p>
          <a:pPr algn="r" rtl="1">
            <a:defRPr sz="1000"/>
          </a:pPr>
          <a:r>
            <a:rPr lang="he-IL" sz="1000" b="1" i="0" u="sng" strike="noStrike" baseline="0">
              <a:solidFill>
                <a:srgbClr val="000000"/>
              </a:solidFill>
              <a:latin typeface="Arial"/>
              <a:cs typeface="Arial"/>
            </a:rPr>
            <a:t>פונקציית סיכום</a:t>
          </a:r>
          <a:r>
            <a:rPr lang="he-IL" sz="1000" b="0" i="0" u="none" strike="noStrike" baseline="0">
              <a:solidFill>
                <a:srgbClr val="000000"/>
              </a:solidFill>
              <a:latin typeface="Arial"/>
              <a:cs typeface="Arial"/>
            </a:rPr>
            <a:t> - פונקציית הגיליון בה משתמשת התוכנה כדי לחשב ערכים בגוף הטבלה. פונקציית ברירת המחדל עבור ערכים מספריים היא </a:t>
          </a:r>
          <a:r>
            <a:rPr lang="en-US" sz="1000" b="0" i="0" u="none" strike="noStrike" baseline="0">
              <a:solidFill>
                <a:srgbClr val="000000"/>
              </a:solidFill>
              <a:latin typeface="Arial"/>
              <a:cs typeface="Arial"/>
            </a:rPr>
            <a:t>SUM </a:t>
          </a:r>
          <a:r>
            <a:rPr lang="he-IL" sz="1000" b="0" i="0" u="none" strike="noStrike" baseline="0">
              <a:solidFill>
                <a:srgbClr val="000000"/>
              </a:solidFill>
              <a:latin typeface="Arial"/>
              <a:cs typeface="Arial"/>
            </a:rPr>
            <a:t> ועבור ערכי טקסט היא </a:t>
          </a:r>
          <a:r>
            <a:rPr lang="en-US" sz="1000" b="0" i="0" u="none" strike="noStrike" baseline="0">
              <a:solidFill>
                <a:srgbClr val="000000"/>
              </a:solidFill>
              <a:latin typeface="Arial"/>
              <a:cs typeface="Arial"/>
            </a:rPr>
            <a:t>COUNT</a:t>
          </a:r>
          <a:r>
            <a:rPr lang="he-IL" sz="1000" b="0" i="0" u="none" strike="noStrike" baseline="0">
              <a:solidFill>
                <a:srgbClr val="000000"/>
              </a:solidFill>
              <a:latin typeface="Arial"/>
              <a:cs typeface="Arial"/>
            </a:rPr>
            <a:t>.</a:t>
          </a:r>
          <a:endParaRPr lang="en-US" sz="1000" b="0" i="0" u="none" strike="noStrike" baseline="0">
            <a:solidFill>
              <a:srgbClr val="000000"/>
            </a:solidFill>
            <a:latin typeface="Arial"/>
            <a:cs typeface="Arial"/>
          </a:endParaRPr>
        </a:p>
        <a:p>
          <a:pPr algn="r" rtl="1">
            <a:defRPr sz="1000"/>
          </a:pPr>
          <a:endParaRPr lang="en-US" sz="1000" b="0" i="0" u="none" strike="noStrike" baseline="0">
            <a:solidFill>
              <a:srgbClr val="000000"/>
            </a:solidFill>
            <a:latin typeface="Arial"/>
            <a:cs typeface="Arial"/>
          </a:endParaRPr>
        </a:p>
      </xdr:txBody>
    </xdr:sp>
    <xdr:clientData/>
  </xdr:twoCellAnchor>
  <xdr:twoCellAnchor>
    <xdr:from>
      <xdr:col>21</xdr:col>
      <xdr:colOff>487680</xdr:colOff>
      <xdr:row>4</xdr:row>
      <xdr:rowOff>68578</xdr:rowOff>
    </xdr:from>
    <xdr:to>
      <xdr:col>26</xdr:col>
      <xdr:colOff>975360</xdr:colOff>
      <xdr:row>32</xdr:row>
      <xdr:rowOff>114299</xdr:rowOff>
    </xdr:to>
    <xdr:sp macro="" textlink="">
      <xdr:nvSpPr>
        <xdr:cNvPr id="25602" name="Text Box 2">
          <a:extLst>
            <a:ext uri="{FF2B5EF4-FFF2-40B4-BE49-F238E27FC236}">
              <a16:creationId xmlns:a16="http://schemas.microsoft.com/office/drawing/2014/main" id="{00000000-0008-0000-0000-000002640000}"/>
            </a:ext>
          </a:extLst>
        </xdr:cNvPr>
        <xdr:cNvSpPr txBox="1">
          <a:spLocks noChangeArrowheads="1"/>
        </xdr:cNvSpPr>
      </xdr:nvSpPr>
      <xdr:spPr bwMode="auto">
        <a:xfrm>
          <a:off x="9971676780" y="739138"/>
          <a:ext cx="5052060" cy="4739641"/>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1">
            <a:defRPr sz="1000"/>
          </a:pPr>
          <a:r>
            <a:rPr lang="he-IL" sz="1400" b="0" i="0" u="none" strike="noStrike" baseline="0">
              <a:solidFill>
                <a:srgbClr val="800000"/>
              </a:solidFill>
              <a:latin typeface="Arial"/>
              <a:cs typeface="Arial"/>
            </a:rPr>
            <a:t>יצירת טבלת ציר</a:t>
          </a:r>
        </a:p>
        <a:p>
          <a:pPr algn="r" rtl="1">
            <a:defRPr sz="1000"/>
          </a:pPr>
          <a:r>
            <a:rPr lang="he-IL" sz="1000" b="0" i="0" u="none" strike="noStrike" baseline="0">
              <a:solidFill>
                <a:srgbClr val="000000"/>
              </a:solidFill>
              <a:latin typeface="Arial"/>
              <a:cs typeface="Arial"/>
            </a:rPr>
            <a:t>מטרתה של היישום השימושי מאד "טבלת ציר" הוא לסכם מידע משדות מסוימים של רשימה או מסד נתונים באופן בו המשתמש מעוניין. כמו כן ניתן לארגן את הנתונים ולבצע חישובים. הטבלה מקושרת אל הנתונים מהן היא נבנתה. אולם שינוי מקור הנתונים לא משנה את את הטבלה באופן אוטומטי, והעדכון נעשה באמצעות ריענון הטבלה.</a:t>
          </a:r>
          <a:endParaRPr lang="he-IL" sz="1400" b="0" i="0" u="none" strike="noStrike" baseline="0">
            <a:solidFill>
              <a:srgbClr val="800000"/>
            </a:solidFill>
            <a:latin typeface="Arial"/>
            <a:cs typeface="Arial"/>
          </a:endParaRP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מארגני חוגים לילדים מעוניינים לקבל פירוט של הרווחים עבור כל סוג חוג בחלוקה לאיזורים ובאופן כללי.  לצורך כך צרו טבלת ציר.</a:t>
          </a:r>
        </a:p>
        <a:p>
          <a:pPr algn="r" rtl="1">
            <a:defRPr sz="1000"/>
          </a:pPr>
          <a:r>
            <a:rPr lang="he-IL" sz="1000" b="0" i="0" u="none" strike="noStrike" baseline="0">
              <a:solidFill>
                <a:srgbClr val="000000"/>
              </a:solidFill>
              <a:latin typeface="Arial"/>
              <a:cs typeface="Arial"/>
            </a:rPr>
            <a:t>ליצירת טבלת ציר בתפריט נתונים בחרו באופציה </a:t>
          </a:r>
          <a:r>
            <a:rPr lang="en-US" sz="1000" b="0" i="0" u="none" strike="noStrike" baseline="0">
              <a:solidFill>
                <a:srgbClr val="000000"/>
              </a:solidFill>
              <a:latin typeface="Arial"/>
              <a:cs typeface="Arial"/>
            </a:rPr>
            <a:t>insert</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PivotTableReport</a:t>
          </a:r>
        </a:p>
        <a:p>
          <a:pPr algn="r" rtl="1">
            <a:defRPr sz="1000"/>
          </a:pPr>
          <a:r>
            <a:rPr lang="he-IL" sz="1000" b="0" i="0" u="none" strike="noStrike" baseline="0">
              <a:solidFill>
                <a:srgbClr val="000000"/>
              </a:solidFill>
              <a:latin typeface="Arial"/>
              <a:cs typeface="Arial"/>
            </a:rPr>
            <a:t>1. השאירו את סוג מקור הנתונים כרשימה או מסד נתונים של </a:t>
          </a:r>
          <a:r>
            <a:rPr lang="en-US" sz="1000" b="0" i="0" u="none" strike="noStrike" baseline="0">
              <a:solidFill>
                <a:srgbClr val="000000"/>
              </a:solidFill>
              <a:latin typeface="Arial"/>
              <a:cs typeface="Arial"/>
            </a:rPr>
            <a:t>Microsoft Excel</a:t>
          </a:r>
          <a:r>
            <a:rPr lang="he-IL" sz="1000" b="0" i="0" u="none" strike="noStrike" baseline="0">
              <a:solidFill>
                <a:srgbClr val="000000"/>
              </a:solidFill>
              <a:latin typeface="Arial"/>
              <a:cs typeface="Arial"/>
            </a:rPr>
            <a:t> </a:t>
          </a:r>
          <a:r>
            <a:rPr lang="en-US" sz="1000" b="0" i="0" u="none" strike="noStrike" baseline="0">
              <a:solidFill>
                <a:srgbClr val="000000"/>
              </a:solidFill>
              <a:latin typeface="Arial"/>
              <a:cs typeface="Arial"/>
            </a:rPr>
            <a:t>. </a:t>
          </a:r>
          <a:r>
            <a:rPr lang="he-IL" sz="1000" b="0" i="0" u="none" strike="noStrike" baseline="0">
              <a:solidFill>
                <a:srgbClr val="000000"/>
              </a:solidFill>
              <a:latin typeface="Arial"/>
              <a:cs typeface="Arial"/>
            </a:rPr>
            <a:t> </a:t>
          </a:r>
        </a:p>
        <a:p>
          <a:pPr algn="r" rtl="1">
            <a:defRPr sz="1000"/>
          </a:pPr>
          <a:r>
            <a:rPr lang="he-IL" sz="1000" b="0" i="0" u="none" strike="noStrike" baseline="0">
              <a:solidFill>
                <a:srgbClr val="000000"/>
              </a:solidFill>
              <a:latin typeface="Arial"/>
              <a:cs typeface="Arial"/>
            </a:rPr>
            <a:t>2. טווח הנתונים הוא הטבלה שנמצאת בגיליון הבא:"נתונים לטבלת ציר". סמנו את כל הנתונים, כולל הכותרות ולחצו על </a:t>
          </a:r>
          <a:r>
            <a:rPr lang="en-US" sz="1000" b="0" i="0" u="none" strike="noStrike" baseline="0">
              <a:solidFill>
                <a:srgbClr val="000000"/>
              </a:solidFill>
              <a:latin typeface="Arial"/>
              <a:cs typeface="Arial"/>
            </a:rPr>
            <a:t>ok</a:t>
          </a:r>
          <a:r>
            <a:rPr lang="he-IL" sz="1000" b="1" i="0" u="none" strike="noStrike" baseline="0">
              <a:solidFill>
                <a:srgbClr val="000000"/>
              </a:solidFill>
              <a:latin typeface="Arial"/>
              <a:cs typeface="Arial"/>
            </a:rPr>
            <a:t>.</a:t>
          </a: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3. נפתח חלון משמאל, שם אפשר לבחור אילו עמודות ושורות יופיעו בטבלה שלכם. למשל, אם ברצוננו לראות עבור כל חוג את הסכום אותו הוציאו המשפחות באזורים שונים בארץ:</a:t>
          </a:r>
        </a:p>
        <a:p>
          <a:pPr algn="r" rtl="1">
            <a:defRPr sz="1000"/>
          </a:pPr>
          <a:r>
            <a:rPr lang="he-IL" sz="1000" b="0" i="0" u="none" strike="noStrike" baseline="0">
              <a:solidFill>
                <a:srgbClr val="000000"/>
              </a:solidFill>
              <a:latin typeface="Arial"/>
              <a:cs typeface="Arial"/>
            </a:rPr>
            <a:t>עבור השורה יש לבחור את  "שם החוג".</a:t>
          </a:r>
        </a:p>
        <a:p>
          <a:pPr algn="r" rtl="1">
            <a:defRPr sz="1000"/>
          </a:pPr>
          <a:r>
            <a:rPr lang="he-IL" sz="1000" b="0" i="0" u="none" strike="noStrike" baseline="0">
              <a:solidFill>
                <a:srgbClr val="000000"/>
              </a:solidFill>
              <a:latin typeface="Arial"/>
              <a:cs typeface="Arial"/>
            </a:rPr>
            <a:t>עבור העמודה יש לבחור את "אזור".</a:t>
          </a:r>
        </a:p>
        <a:p>
          <a:pPr algn="r" rtl="1">
            <a:defRPr sz="1000"/>
          </a:pPr>
          <a:r>
            <a:rPr lang="he-IL" sz="1000" b="0" i="0" u="none" strike="noStrike" baseline="0">
              <a:solidFill>
                <a:srgbClr val="000000"/>
              </a:solidFill>
              <a:latin typeface="Arial"/>
              <a:cs typeface="Arial"/>
            </a:rPr>
            <a:t>את הלחצן "תשלום" יש לגרור לאזור הנתונים שכן זהו השדה שאותו יש לסכם. בסיום התהליך יש ללחוץ על </a:t>
          </a:r>
          <a:r>
            <a:rPr lang="he-IL" sz="1000" b="1" i="0" u="none" strike="noStrike" baseline="0">
              <a:solidFill>
                <a:srgbClr val="000000"/>
              </a:solidFill>
              <a:latin typeface="Arial"/>
              <a:cs typeface="Arial"/>
            </a:rPr>
            <a:t>הבא </a:t>
          </a:r>
          <a:r>
            <a:rPr lang="he-IL" sz="1000" b="0" i="0" u="none" strike="noStrike" baseline="0">
              <a:solidFill>
                <a:srgbClr val="000000"/>
              </a:solidFill>
              <a:latin typeface="Arial"/>
              <a:cs typeface="Arial"/>
            </a:rPr>
            <a:t>ובתיבת הדו-שיח האחרונה על</a:t>
          </a:r>
          <a:r>
            <a:rPr lang="he-IL" sz="1000" b="1" i="0" u="none" strike="noStrike" baseline="0">
              <a:solidFill>
                <a:srgbClr val="000000"/>
              </a:solidFill>
              <a:latin typeface="Arial"/>
              <a:cs typeface="Arial"/>
            </a:rPr>
            <a:t> סיום.</a:t>
          </a:r>
        </a:p>
        <a:p>
          <a:pPr algn="r" rtl="1">
            <a:defRPr sz="1000"/>
          </a:pPr>
          <a:endParaRPr lang="he-IL" sz="1000" b="0" i="0" u="none" strike="noStrike" baseline="0">
            <a:solidFill>
              <a:srgbClr val="000000"/>
            </a:solidFill>
            <a:latin typeface="Arial"/>
            <a:cs typeface="Arial"/>
          </a:endParaRPr>
        </a:p>
        <a:p>
          <a:pPr algn="r" rtl="1">
            <a:defRPr sz="1000"/>
          </a:pPr>
          <a:r>
            <a:rPr lang="he-IL" sz="1400" b="0" i="0" u="sng" strike="noStrike" baseline="0">
              <a:solidFill>
                <a:srgbClr val="000000"/>
              </a:solidFill>
              <a:latin typeface="Arial"/>
              <a:cs typeface="Arial"/>
            </a:rPr>
            <a:t>תרגילים</a:t>
          </a:r>
          <a:endParaRPr lang="he-IL" sz="1000" b="0" i="0" u="none" strike="noStrike" baseline="0">
            <a:solidFill>
              <a:srgbClr val="000000"/>
            </a:solidFill>
            <a:latin typeface="Arial"/>
            <a:cs typeface="Arial"/>
          </a:endParaRPr>
        </a:p>
        <a:p>
          <a:pPr algn="r" rtl="1">
            <a:defRPr sz="1000"/>
          </a:pPr>
          <a:endParaRPr lang="he-IL" sz="1000" b="1"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1. צרו טבלת ציר אשר מראה, עבור כל אזור (שורה), את הממוצע אשר משלמות המשפחות, בחלוקה לחוגים (עמודה).</a:t>
          </a:r>
        </a:p>
        <a:p>
          <a:pPr algn="r" rtl="1">
            <a:defRPr sz="1000"/>
          </a:pPr>
          <a:r>
            <a:rPr lang="he-IL" sz="1000" b="0" i="0" u="none" strike="noStrike" baseline="0">
              <a:solidFill>
                <a:srgbClr val="000000"/>
              </a:solidFill>
              <a:latin typeface="Arial"/>
              <a:cs typeface="Arial"/>
            </a:rPr>
            <a:t>2. צרו טבלת ציר אשר מראה, עבור כל עיר, את הסכום אשר משלמות כל המשפחות, בחלוקה לחוגים.</a:t>
          </a:r>
        </a:p>
        <a:p>
          <a:pPr algn="r" rtl="1">
            <a:defRPr sz="1000"/>
          </a:pPr>
          <a:r>
            <a:rPr lang="he-IL" sz="1000" b="0" i="0" u="none" strike="noStrike" baseline="0">
              <a:solidFill>
                <a:srgbClr val="000000"/>
              </a:solidFill>
              <a:latin typeface="Arial"/>
              <a:cs typeface="Arial"/>
            </a:rPr>
            <a:t>3. עבור אותה טבלת ציר, הוסיפו, עבור ההגדרות של "עמוד" (מעל הטבלה) את השדה "אזור", ובחרו רק את אזור הדרום.</a:t>
          </a:r>
        </a:p>
        <a:p>
          <a:pPr algn="r" rtl="1">
            <a:defRPr sz="1000"/>
          </a:pPr>
          <a:r>
            <a:rPr lang="he-IL" sz="1000" b="0" i="0" u="none" strike="noStrike" baseline="0">
              <a:solidFill>
                <a:srgbClr val="000000"/>
              </a:solidFill>
              <a:latin typeface="Arial"/>
              <a:cs typeface="Arial"/>
            </a:rPr>
            <a:t>4. צרו טבלת ציר אשר מראה, עבור כל חוג, את מספר המשפחות שמשתתפות בו, בחלוקה לאזורים.</a:t>
          </a:r>
        </a:p>
        <a:p>
          <a:pPr algn="r" rtl="1">
            <a:defRPr sz="1000"/>
          </a:pPr>
          <a:r>
            <a:rPr lang="he-IL" sz="1000" b="0" i="0" u="none" strike="noStrike" baseline="0">
              <a:solidFill>
                <a:srgbClr val="000000"/>
              </a:solidFill>
              <a:latin typeface="Arial"/>
              <a:cs typeface="Arial"/>
            </a:rPr>
            <a:t>5. עבור הטבלה האחרונה, הראו את הסכום המינימלי אותו משלמת משפחה כלשהי (כלומר, עבור כל חוג, מהו הסכום המינמלי אותו משלמת משפחה, בחלוקה לאזורים).</a:t>
          </a:r>
        </a:p>
        <a:p>
          <a:pPr algn="r" rtl="1">
            <a:defRPr sz="1000"/>
          </a:pPr>
          <a:endParaRPr lang="he-IL" sz="1000" b="0" i="0" u="none" strike="noStrike" baseline="0">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609599</xdr:colOff>
      <xdr:row>8</xdr:row>
      <xdr:rowOff>161924</xdr:rowOff>
    </xdr:from>
    <xdr:to>
      <xdr:col>16</xdr:col>
      <xdr:colOff>152399</xdr:colOff>
      <xdr:row>26</xdr:row>
      <xdr:rowOff>114299</xdr:rowOff>
    </xdr:to>
    <xdr:sp macro="" textlink="">
      <xdr:nvSpPr>
        <xdr:cNvPr id="3" name="Text Box 2">
          <a:extLst>
            <a:ext uri="{FF2B5EF4-FFF2-40B4-BE49-F238E27FC236}">
              <a16:creationId xmlns:a16="http://schemas.microsoft.com/office/drawing/2014/main" id="{00000000-0008-0000-0400-000003000000}"/>
            </a:ext>
          </a:extLst>
        </xdr:cNvPr>
        <xdr:cNvSpPr txBox="1">
          <a:spLocks noChangeArrowheads="1"/>
        </xdr:cNvSpPr>
      </xdr:nvSpPr>
      <xdr:spPr bwMode="auto">
        <a:xfrm>
          <a:off x="9977780401" y="1457324"/>
          <a:ext cx="7467600" cy="2886075"/>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1">
            <a:defRPr sz="1000"/>
          </a:pPr>
          <a:r>
            <a:rPr lang="he-IL" sz="1400" b="0" i="0" u="none" strike="noStrike" baseline="0">
              <a:solidFill>
                <a:schemeClr val="accent4">
                  <a:lumMod val="75000"/>
                </a:schemeClr>
              </a:solidFill>
              <a:latin typeface="Arial"/>
              <a:cs typeface="Arial"/>
            </a:rPr>
            <a:t>היכן למקם סניף חדש?</a:t>
          </a:r>
        </a:p>
        <a:p>
          <a:pPr algn="r" rtl="1">
            <a:defRPr sz="1000"/>
          </a:pPr>
          <a:r>
            <a:rPr lang="he-IL" sz="1100" b="0" i="0" u="none" strike="noStrike" baseline="0">
              <a:solidFill>
                <a:schemeClr val="tx1"/>
              </a:solidFill>
              <a:latin typeface="Arial"/>
              <a:cs typeface="Arial"/>
            </a:rPr>
            <a:t>רשת "את הכי יפה כשאת לובשת טרנינגים" רוצה לפתוח סניף חדש .</a:t>
          </a:r>
        </a:p>
        <a:p>
          <a:pPr algn="r" rtl="1">
            <a:defRPr sz="1000"/>
          </a:pPr>
          <a:r>
            <a:rPr lang="he-IL" sz="1100" b="0" i="0" u="none" strike="noStrike" baseline="0">
              <a:solidFill>
                <a:schemeClr val="tx1"/>
              </a:solidFill>
              <a:latin typeface="Arial"/>
              <a:cs typeface="Arial"/>
            </a:rPr>
            <a:t>לרשת מידע אודות גודל מרכזי האוכלוסיה בהם ממוקמים הסניפים עד כה וכן נתוני הרווח החודשיים בסניף בהתאם.</a:t>
          </a:r>
        </a:p>
        <a:p>
          <a:pPr algn="r" rtl="1">
            <a:defRPr sz="1000"/>
          </a:pPr>
          <a:endParaRPr lang="he-IL" sz="1100" b="0" i="0" u="none" strike="noStrike" baseline="0">
            <a:solidFill>
              <a:schemeClr val="tx1"/>
            </a:solidFill>
            <a:latin typeface="Arial"/>
            <a:cs typeface="Arial"/>
          </a:endParaRPr>
        </a:p>
        <a:p>
          <a:pPr algn="r" rtl="1">
            <a:defRPr sz="1000"/>
          </a:pPr>
          <a:r>
            <a:rPr lang="he-IL" sz="1100" b="0" i="0" u="none" strike="noStrike" baseline="0">
              <a:solidFill>
                <a:schemeClr val="tx1"/>
              </a:solidFill>
              <a:latin typeface="Arial"/>
              <a:cs typeface="Arial"/>
            </a:rPr>
            <a:t>* באמצעות רגרסיה :</a:t>
          </a:r>
        </a:p>
        <a:p>
          <a:pPr algn="r" rtl="1">
            <a:defRPr sz="1000"/>
          </a:pPr>
          <a:r>
            <a:rPr lang="he-IL" sz="1100" b="0" i="0" u="none" strike="noStrike" baseline="0">
              <a:solidFill>
                <a:schemeClr val="tx1"/>
              </a:solidFill>
              <a:latin typeface="Arial"/>
              <a:cs typeface="Arial"/>
            </a:rPr>
            <a:t>חזו את הרווח הצפוי בישוב נאות שיבולים, בו האוכלוסיה בגודל 35,000 איש?</a:t>
          </a:r>
        </a:p>
        <a:p>
          <a:pPr algn="r" rtl="1">
            <a:defRPr sz="1000"/>
          </a:pPr>
          <a:r>
            <a:rPr lang="he-IL" sz="1100" b="0" i="0" u="none" strike="noStrike" baseline="0">
              <a:solidFill>
                <a:schemeClr val="tx1"/>
              </a:solidFill>
              <a:latin typeface="Arial"/>
              <a:cs typeface="Arial"/>
            </a:rPr>
            <a:t>חזו את הרווח הצפוי בישוב סביוני עומרים, בו האוכלוסיה בגודל 70,000 איש?</a:t>
          </a:r>
        </a:p>
        <a:p>
          <a:pPr algn="r" rtl="1">
            <a:defRPr sz="1000"/>
          </a:pPr>
          <a:endParaRPr lang="he-IL" sz="1100" b="0" i="0" u="none" strike="noStrike" baseline="0">
            <a:solidFill>
              <a:schemeClr val="tx1"/>
            </a:solidFill>
            <a:latin typeface="Arial"/>
            <a:cs typeface="Arial"/>
          </a:endParaRPr>
        </a:p>
        <a:p>
          <a:pPr algn="r" rtl="1">
            <a:defRPr sz="1000"/>
          </a:pPr>
          <a:r>
            <a:rPr lang="he-IL" sz="1100" b="0" i="0" u="none" strike="noStrike" baseline="0">
              <a:solidFill>
                <a:schemeClr val="tx1"/>
              </a:solidFill>
              <a:latin typeface="Arial"/>
              <a:cs typeface="Arial"/>
            </a:rPr>
            <a:t>* ענו על השאלה היכן כדאי לרשת למקם את הסניף החדש? </a:t>
          </a:r>
          <a:endParaRPr lang="en-US" sz="1100" b="0" i="0" u="none" strike="noStrike" baseline="0">
            <a:solidFill>
              <a:schemeClr val="tx1"/>
            </a:solidFill>
            <a:latin typeface="Arial"/>
            <a:cs typeface="Arial"/>
          </a:endParaRPr>
        </a:p>
        <a:p>
          <a:pPr algn="r" rtl="1">
            <a:defRPr sz="1000"/>
          </a:pPr>
          <a:r>
            <a:rPr lang="he-IL" sz="1100" b="0" i="0" u="none" strike="noStrike" baseline="0">
              <a:solidFill>
                <a:schemeClr val="tx1"/>
              </a:solidFill>
              <a:latin typeface="Arial"/>
              <a:cs typeface="Arial"/>
            </a:rPr>
            <a:t>בצעו זאת בשתי הדרכים שנלמדו בכיתה:</a:t>
          </a:r>
          <a:r>
            <a:rPr lang="en-US" sz="1100" b="0" i="0" u="none" strike="noStrike" baseline="0">
              <a:solidFill>
                <a:schemeClr val="tx1"/>
              </a:solidFill>
              <a:latin typeface="Arial"/>
              <a:cs typeface="Arial"/>
            </a:rPr>
            <a:t> </a:t>
          </a:r>
          <a:endParaRPr lang="he-IL" sz="1100" b="0" i="0" u="none" strike="noStrike" baseline="0">
            <a:solidFill>
              <a:schemeClr val="tx1"/>
            </a:solidFill>
            <a:latin typeface="Arial"/>
            <a:cs typeface="Arial"/>
          </a:endParaRPr>
        </a:p>
        <a:p>
          <a:pPr algn="r" rtl="1">
            <a:defRPr sz="1000"/>
          </a:pPr>
          <a:r>
            <a:rPr lang="he-IL" sz="1100" b="0" i="0" u="none" strike="noStrike" baseline="0">
              <a:solidFill>
                <a:schemeClr val="tx1"/>
              </a:solidFill>
              <a:latin typeface="Arial"/>
              <a:cs typeface="Arial"/>
            </a:rPr>
            <a:t>1. בעזרת גרף, בחירה בקו רגרסיה וערך </a:t>
          </a:r>
          <a:r>
            <a:rPr lang="en-US" sz="1100" b="0" i="0" u="none" strike="noStrike" baseline="0">
              <a:solidFill>
                <a:schemeClr val="tx1"/>
              </a:solidFill>
              <a:latin typeface="Arial"/>
              <a:cs typeface="Arial"/>
            </a:rPr>
            <a:t>R</a:t>
          </a:r>
          <a:r>
            <a:rPr lang="he-IL" sz="1100" b="0" i="0" u="none" strike="noStrike" baseline="0">
              <a:solidFill>
                <a:schemeClr val="tx1"/>
              </a:solidFill>
              <a:latin typeface="Arial"/>
              <a:cs typeface="Arial"/>
            </a:rPr>
            <a:t> בריבוע. (מנושא הגרפים) </a:t>
          </a:r>
        </a:p>
        <a:p>
          <a:pPr algn="r" rtl="1">
            <a:defRPr sz="1000"/>
          </a:pPr>
          <a:r>
            <a:rPr lang="he-IL" sz="1100" b="0" i="0" u="none" strike="noStrike" baseline="0">
              <a:solidFill>
                <a:schemeClr val="tx1"/>
              </a:solidFill>
              <a:latin typeface="Arial"/>
              <a:cs typeface="Arial"/>
            </a:rPr>
            <a:t>2. ביצוע רגרסיה לינארית מה</a:t>
          </a:r>
          <a:r>
            <a:rPr lang="en-US" sz="1100" b="0" i="0" u="none" strike="noStrike" baseline="0">
              <a:solidFill>
                <a:schemeClr val="tx1"/>
              </a:solidFill>
              <a:latin typeface="Arial"/>
              <a:cs typeface="Arial"/>
            </a:rPr>
            <a:t>analysis toolpak</a:t>
          </a:r>
          <a:r>
            <a:rPr lang="he-IL" sz="1100" b="0" i="0" u="none" strike="noStrike" baseline="0">
              <a:solidFill>
                <a:schemeClr val="tx1"/>
              </a:solidFill>
              <a:latin typeface="Arial"/>
              <a:cs typeface="Arial"/>
            </a:rPr>
            <a:t>, לפי ההנחיות בקישור הבא: </a:t>
          </a:r>
          <a:r>
            <a:rPr lang="en-US" sz="1100" b="0" i="0" u="none" strike="noStrike" baseline="0">
              <a:solidFill>
                <a:schemeClr val="tx1"/>
              </a:solidFill>
              <a:latin typeface="Arial"/>
              <a:cs typeface="Arial"/>
            </a:rPr>
            <a:t>http://www.excel-easy.com/examples/regression.html</a:t>
          </a:r>
          <a:endParaRPr lang="he-IL" sz="1100" b="0" i="0" u="none" strike="noStrike" baseline="0">
            <a:solidFill>
              <a:schemeClr val="tx1"/>
            </a:solidFill>
            <a:latin typeface="Arial"/>
            <a:cs typeface="Arial"/>
          </a:endParaRPr>
        </a:p>
        <a:p>
          <a:pPr algn="r" rtl="1">
            <a:defRPr sz="1000"/>
          </a:pPr>
          <a:endParaRPr lang="he-IL" sz="1100" b="0" i="0" u="none" strike="noStrike" baseline="0">
            <a:solidFill>
              <a:schemeClr val="tx1"/>
            </a:solidFill>
            <a:latin typeface="Arial"/>
            <a:cs typeface="Arial"/>
          </a:endParaRPr>
        </a:p>
        <a:p>
          <a:pPr algn="r" rtl="1">
            <a:defRPr sz="1000"/>
          </a:pPr>
          <a:endParaRPr lang="he-IL" sz="1100" b="0" i="0" u="none" strike="noStrike" baseline="0">
            <a:solidFill>
              <a:schemeClr val="tx1"/>
            </a:solidFill>
            <a:latin typeface="Arial"/>
            <a:cs typeface="Arial"/>
          </a:endParaRPr>
        </a:p>
        <a:p>
          <a:pPr algn="r" rtl="1">
            <a:defRPr sz="1000"/>
          </a:pPr>
          <a:r>
            <a:rPr lang="he-IL" sz="1100" b="0" i="0" u="none" strike="noStrike" baseline="0">
              <a:solidFill>
                <a:schemeClr val="tx1"/>
              </a:solidFill>
              <a:latin typeface="Arial"/>
              <a:cs typeface="Arial"/>
            </a:rPr>
            <a:t>אם חסר אצלכם באקסל את האופציה לחישוב אוטומטי של רגרסיה לינארית, תוכלו להוסיף לפי ההנחיות בקישור זה: </a:t>
          </a:r>
          <a:r>
            <a:rPr lang="en-US" sz="1100" b="0" i="0" u="none" strike="noStrike" baseline="0">
              <a:solidFill>
                <a:schemeClr val="tx1"/>
              </a:solidFill>
              <a:latin typeface="Arial"/>
              <a:cs typeface="Arial"/>
            </a:rPr>
            <a:t>http://www.excel-easy.com/data-analysis/analysis-toolpak.html</a:t>
          </a:r>
          <a:endParaRPr lang="he-IL" sz="1100" b="0" i="0" u="none" strike="noStrike" baseline="0">
            <a:solidFill>
              <a:schemeClr val="tx1"/>
            </a:solidFill>
            <a:latin typeface="Arial"/>
            <a:cs typeface="Arial"/>
          </a:endParaRPr>
        </a:p>
        <a:p>
          <a:pPr algn="r" rtl="1">
            <a:defRPr sz="1000"/>
          </a:pPr>
          <a:endParaRPr lang="he-IL" sz="1100" b="0" i="0" u="none" strike="noStrike" baseline="0">
            <a:solidFill>
              <a:schemeClr val="tx1"/>
            </a:solidFill>
            <a:latin typeface="Arial"/>
            <a:cs typeface="Arial"/>
          </a:endParaRPr>
        </a:p>
        <a:p>
          <a:pPr algn="r" rtl="1">
            <a:defRPr sz="1000"/>
          </a:pPr>
          <a:endParaRPr lang="he-IL" sz="1100" b="0" i="0" u="none" strike="noStrike" baseline="0">
            <a:solidFill>
              <a:schemeClr val="tx1"/>
            </a:solidFill>
            <a:latin typeface="Arial"/>
            <a:cs typeface="Arial"/>
          </a:endParaRPr>
        </a:p>
        <a:p>
          <a:pPr algn="r" rtl="1">
            <a:defRPr sz="1000"/>
          </a:pPr>
          <a:endParaRPr lang="he-IL" sz="1100" b="0" i="0" u="none" strike="noStrike" baseline="0">
            <a:solidFill>
              <a:schemeClr val="tx1"/>
            </a:solidFill>
            <a:latin typeface="Arial"/>
            <a:cs typeface="Arial"/>
          </a:endParaRPr>
        </a:p>
      </xdr:txBody>
    </xdr:sp>
    <xdr:clientData/>
  </xdr:twoCellAnchor>
  <xdr:twoCellAnchor>
    <xdr:from>
      <xdr:col>4</xdr:col>
      <xdr:colOff>449580</xdr:colOff>
      <xdr:row>27</xdr:row>
      <xdr:rowOff>133350</xdr:rowOff>
    </xdr:from>
    <xdr:to>
      <xdr:col>12</xdr:col>
      <xdr:colOff>144780</xdr:colOff>
      <xdr:row>44</xdr:row>
      <xdr:rowOff>26670</xdr:rowOff>
    </xdr:to>
    <xdr:graphicFrame macro="">
      <xdr:nvGraphicFramePr>
        <xdr:cNvPr id="2" name="תרשים 1">
          <a:extLst>
            <a:ext uri="{FF2B5EF4-FFF2-40B4-BE49-F238E27FC236}">
              <a16:creationId xmlns:a16="http://schemas.microsoft.com/office/drawing/2014/main" id="{AD1911AB-E30B-4962-8A19-BA0D0917FA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95250</xdr:colOff>
      <xdr:row>24</xdr:row>
      <xdr:rowOff>76200</xdr:rowOff>
    </xdr:from>
    <xdr:to>
      <xdr:col>9</xdr:col>
      <xdr:colOff>314325</xdr:colOff>
      <xdr:row>49</xdr:row>
      <xdr:rowOff>104775</xdr:rowOff>
    </xdr:to>
    <xdr:sp macro="" textlink="">
      <xdr:nvSpPr>
        <xdr:cNvPr id="29697" name="Text Box 1">
          <a:extLst>
            <a:ext uri="{FF2B5EF4-FFF2-40B4-BE49-F238E27FC236}">
              <a16:creationId xmlns:a16="http://schemas.microsoft.com/office/drawing/2014/main" id="{00000000-0008-0000-0500-000001740000}"/>
            </a:ext>
          </a:extLst>
        </xdr:cNvPr>
        <xdr:cNvSpPr txBox="1">
          <a:spLocks noChangeArrowheads="1"/>
        </xdr:cNvSpPr>
      </xdr:nvSpPr>
      <xdr:spPr bwMode="auto">
        <a:xfrm>
          <a:off x="150323550" y="3981450"/>
          <a:ext cx="5791200" cy="40767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הנתונים לעיל הם נתונים שהגיעו לחברה שלכם מחברת הליסינג שלכם. מדובר בנתוני צריכת הרכב של עובדי החברה.</a:t>
          </a:r>
        </a:p>
        <a:p>
          <a:pPr algn="r" rtl="1">
            <a:defRPr sz="1000"/>
          </a:pPr>
          <a:r>
            <a:rPr lang="he-IL" sz="1000" b="0" i="0" u="none" strike="noStrike" baseline="0">
              <a:solidFill>
                <a:srgbClr val="000000"/>
              </a:solidFill>
              <a:latin typeface="Arial"/>
              <a:cs typeface="Arial"/>
            </a:rPr>
            <a:t>שימו לב - אלו נתוני המקור ואין לשנות אותם או "לגעת" בהם (!).</a:t>
          </a:r>
        </a:p>
        <a:p>
          <a:pPr algn="r" rtl="1">
            <a:defRPr sz="1000"/>
          </a:pPr>
          <a:r>
            <a:rPr lang="he-IL" sz="1000" b="0" i="0" u="none" strike="noStrike" baseline="0">
              <a:solidFill>
                <a:srgbClr val="000000"/>
              </a:solidFill>
              <a:latin typeface="Arial"/>
              <a:cs typeface="Arial"/>
            </a:rPr>
            <a:t>הנתונים לא מגיעים בפורמט בו אתם צריכים להציג את הנתונים ולכן אתם נדרשים לעשות מס' שינויים על מנת להציג אותם באופן נכון בטבלה השמאלית (אין להשתמש בחישובי ביניים או להעתיק את הנתונים):</a:t>
          </a: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1. שם העובד צריך להיות בתא אחד (שם פרטי + משפחה).</a:t>
          </a: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2. מס' הרכב האמיתי הוא המס' שנמצא משמאל לתו "-" (את התוספת מוסיפה חברת הליסינג לצרכיה).</a:t>
          </a:r>
        </a:p>
        <a:p>
          <a:pPr algn="r" rtl="1">
            <a:defRPr sz="1000"/>
          </a:pPr>
          <a:r>
            <a:rPr lang="he-IL" sz="1000" b="0" i="0" u="none" strike="noStrike" baseline="0">
              <a:solidFill>
                <a:srgbClr val="000000"/>
              </a:solidFill>
              <a:latin typeface="Arial"/>
              <a:cs typeface="Arial"/>
            </a:rPr>
            <a:t>שימו לב שלא בכל מס' הרכבים יש "-"; עבור רכבים אלו, המס' שכתוב הוא מס' הרכב האמיתי. עליכם לפתור את הבעיה באופן כללי ואחיד לכל התאים.</a:t>
          </a: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3. סכום התדלוק צריך להיות מס' שלם. שימו לב ששינוי התצוגה</a:t>
          </a:r>
          <a:r>
            <a:rPr lang="en-US" sz="1000" b="0" i="0" u="none" strike="noStrike" baseline="0">
              <a:solidFill>
                <a:srgbClr val="000000"/>
              </a:solidFill>
              <a:latin typeface="Arial"/>
              <a:cs typeface="Arial"/>
            </a:rPr>
            <a:t>FORMAT CELLS) </a:t>
          </a:r>
          <a:r>
            <a:rPr lang="he-IL" sz="1000" b="0" i="0" u="none" strike="noStrike" baseline="0">
              <a:solidFill>
                <a:srgbClr val="000000"/>
              </a:solidFill>
              <a:latin typeface="Arial"/>
              <a:cs typeface="Arial"/>
            </a:rPr>
            <a:t>) אינה הפתרון במקרה זה, משום שהערך התא לא משתנה (רק התצוגה) בעוד שאנחנו רוצים ממש לשנות את ערך התא (כלומר, לעגל את המספר).</a:t>
          </a: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4. כמו כן, יש לחשב את מס' הרכבים (ובהתאמה גם באחוזים) שצורכים דלק בטווחי הסכומים הבאים:</a:t>
          </a:r>
        </a:p>
        <a:p>
          <a:pPr algn="r" rtl="1">
            <a:defRPr sz="1000"/>
          </a:pPr>
          <a:r>
            <a:rPr lang="he-IL" sz="1000" b="0" i="0" u="none" strike="noStrike" baseline="0">
              <a:solidFill>
                <a:srgbClr val="000000"/>
              </a:solidFill>
              <a:latin typeface="Arial"/>
              <a:cs typeface="Arial"/>
            </a:rPr>
            <a:t>       א. פחות מ 30 ש"ח.</a:t>
          </a:r>
        </a:p>
        <a:p>
          <a:pPr algn="r" rtl="1">
            <a:defRPr sz="1000"/>
          </a:pPr>
          <a:r>
            <a:rPr lang="he-IL" sz="1000" b="0" i="0" u="none" strike="noStrike" baseline="0">
              <a:solidFill>
                <a:srgbClr val="000000"/>
              </a:solidFill>
              <a:latin typeface="Arial"/>
              <a:cs typeface="Arial"/>
            </a:rPr>
            <a:t>       ב. בין 30 ל 60 ש"ח.</a:t>
          </a:r>
        </a:p>
        <a:p>
          <a:pPr algn="r" rtl="1">
            <a:defRPr sz="1000"/>
          </a:pPr>
          <a:r>
            <a:rPr lang="he-IL" sz="1000" b="0" i="0" u="none" strike="noStrike" baseline="0">
              <a:solidFill>
                <a:srgbClr val="000000"/>
              </a:solidFill>
              <a:latin typeface="Arial"/>
              <a:cs typeface="Arial"/>
            </a:rPr>
            <a:t>       ג. בין 60 ל 80 ש"ח.</a:t>
          </a:r>
        </a:p>
        <a:p>
          <a:pPr algn="r" rtl="1">
            <a:defRPr sz="1000"/>
          </a:pPr>
          <a:r>
            <a:rPr lang="he-IL" sz="1000" b="0" i="0" u="none" strike="noStrike" baseline="0">
              <a:solidFill>
                <a:srgbClr val="000000"/>
              </a:solidFill>
              <a:latin typeface="Arial"/>
              <a:cs typeface="Arial"/>
            </a:rPr>
            <a:t>       ד. בין 80 ל 90 ש"ח.</a:t>
          </a:r>
        </a:p>
        <a:p>
          <a:pPr algn="r" rtl="1">
            <a:defRPr sz="1000"/>
          </a:pPr>
          <a:r>
            <a:rPr lang="he-IL" sz="1000" b="0" i="0" u="none" strike="noStrike" baseline="0">
              <a:solidFill>
                <a:srgbClr val="000000"/>
              </a:solidFill>
              <a:latin typeface="Arial"/>
              <a:cs typeface="Arial"/>
            </a:rPr>
            <a:t>       ה. בין 90 ל 100 ש"ח</a:t>
          </a: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*שימו לב שעליכם לפתור את הבעיה באופן כללי (ולא באופן "קשיח" לסכומים הנ"ל). אתם יכולים לעצב טבלה זו באופן שנראה לכם.</a:t>
          </a:r>
        </a:p>
        <a:p>
          <a:pPr algn="r" rtl="1">
            <a:defRPr sz="1000"/>
          </a:pPr>
          <a:endParaRPr lang="he-IL" sz="1000" b="0" i="0" u="none" strike="noStrike" baseline="0">
            <a:solidFill>
              <a:srgbClr val="000000"/>
            </a:solidFill>
            <a:latin typeface="Arial"/>
            <a:cs typeface="Aria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elet Goldstein" refreshedDate="41238.836881481482" createdVersion="3" refreshedVersion="3" minRefreshableVersion="3" recordCount="53" xr:uid="{00000000-000A-0000-FFFF-FFFF01000000}">
  <cacheSource type="worksheet">
    <worksheetSource ref="A1:F54" sheet="נתונים לטבלת ציר"/>
  </cacheSource>
  <cacheFields count="6">
    <cacheField name="מזהה משפחה" numFmtId="0">
      <sharedItems containsSemiMixedTypes="0" containsString="0" containsNumber="1" containsInteger="1" minValue="1" maxValue="53" count="5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sharedItems>
    </cacheField>
    <cacheField name="שם משפחה" numFmtId="0">
      <sharedItems count="52">
        <s v="סימפסון"/>
        <s v="רוטשילד"/>
        <s v="צנעני"/>
        <s v="סופרנו"/>
        <s v="בלפונטה"/>
        <s v="פלנדרס"/>
        <s v="קדמוני"/>
        <s v="סופר-על"/>
        <s v="כהן"/>
        <s v="ארדיטי"/>
        <s v="עינב"/>
        <s v="הקיסרים"/>
        <s v="זהבי"/>
        <s v="חמו"/>
        <s v="טננבאום"/>
        <s v="בנאי"/>
        <s v="לוי"/>
        <s v="חינאוי"/>
        <s v="עידן"/>
        <s v="עזריאל"/>
        <s v="בשן"/>
        <s v="פרדס"/>
        <s v="סביר"/>
        <s v="גולדברג"/>
        <s v="אליפלט"/>
        <s v="פרי"/>
        <s v="נמרוד"/>
        <s v="רבינוביץ'"/>
        <s v="אלייב"/>
        <s v="טיפו"/>
        <s v="זוארץ"/>
        <s v="בר"/>
        <s v="כץ"/>
        <s v="צדיק"/>
        <s v="יונה"/>
        <s v="עופר"/>
        <s v="אבן"/>
        <s v="אסייג"/>
        <s v="מומין"/>
        <s v="רוהר"/>
        <s v="טימלים"/>
        <s v="היונקים"/>
        <s v="מוסקוביץ"/>
        <s v="גולדן"/>
        <s v="פרץ"/>
        <s v="מלול"/>
        <s v="מלבסקי"/>
        <s v="שמידוב"/>
        <s v="קימל"/>
        <s v="אלפסי"/>
        <s v="לוזון"/>
        <s v="אלון"/>
      </sharedItems>
    </cacheField>
    <cacheField name="אזור" numFmtId="0">
      <sharedItems count="3">
        <s v="דרום"/>
        <s v="מרכז"/>
        <s v="צפון"/>
      </sharedItems>
    </cacheField>
    <cacheField name="יישוב" numFmtId="0">
      <sharedItems count="15">
        <s v="באר שבע"/>
        <s v="תל אביב"/>
        <s v="חיפה"/>
        <s v="פתח תקווה"/>
        <s v="קרית טבעון"/>
        <s v="גבעתיים"/>
        <s v="קרית שמונה"/>
        <s v="רהט"/>
        <s v="נתניה"/>
        <s v="מגדל העמק"/>
        <s v="ערד"/>
        <s v="חצור הגלילית"/>
        <s v="חולון"/>
        <s v="אילת"/>
        <s v="בארי"/>
      </sharedItems>
    </cacheField>
    <cacheField name="שם החוג" numFmtId="0">
      <sharedItems count="6">
        <s v="שחמט"/>
        <s v="בלט"/>
        <s v="אגרוף תאלינדי"/>
        <s v="שזירת פרחים"/>
        <s v="שחייה אומנותית"/>
        <s v="פיסול בשוקולד"/>
      </sharedItems>
    </cacheField>
    <cacheField name="תשלום" numFmtId="0">
      <sharedItems containsSemiMixedTypes="0" containsString="0" containsNumber="1" containsInteger="1" minValue="203" maxValue="1196" count="51">
        <n v="489"/>
        <n v="1196"/>
        <n v="214"/>
        <n v="266"/>
        <n v="464"/>
        <n v="1018"/>
        <n v="873"/>
        <n v="999"/>
        <n v="219"/>
        <n v="378"/>
        <n v="1036"/>
        <n v="1108"/>
        <n v="1045"/>
        <n v="440"/>
        <n v="437"/>
        <n v="203"/>
        <n v="1144"/>
        <n v="742"/>
        <n v="335"/>
        <n v="408"/>
        <n v="471"/>
        <n v="776"/>
        <n v="805"/>
        <n v="1020"/>
        <n v="669"/>
        <n v="433"/>
        <n v="880"/>
        <n v="628"/>
        <n v="1161"/>
        <n v="404"/>
        <n v="531"/>
        <n v="934"/>
        <n v="855"/>
        <n v="902"/>
        <n v="527"/>
        <n v="722"/>
        <n v="916"/>
        <n v="660"/>
        <n v="1032"/>
        <n v="342"/>
        <n v="1171"/>
        <n v="544"/>
        <n v="559"/>
        <n v="747"/>
        <n v="961"/>
        <n v="467"/>
        <n v="650"/>
        <n v="441"/>
        <n v="1053"/>
        <n v="639"/>
        <n v="396"/>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x v="0"/>
    <x v="0"/>
    <x v="0"/>
    <x v="0"/>
    <x v="0"/>
  </r>
  <r>
    <x v="1"/>
    <x v="1"/>
    <x v="1"/>
    <x v="1"/>
    <x v="1"/>
    <x v="1"/>
  </r>
  <r>
    <x v="2"/>
    <x v="2"/>
    <x v="2"/>
    <x v="2"/>
    <x v="2"/>
    <x v="2"/>
  </r>
  <r>
    <x v="3"/>
    <x v="3"/>
    <x v="1"/>
    <x v="3"/>
    <x v="3"/>
    <x v="3"/>
  </r>
  <r>
    <x v="4"/>
    <x v="4"/>
    <x v="2"/>
    <x v="4"/>
    <x v="0"/>
    <x v="4"/>
  </r>
  <r>
    <x v="5"/>
    <x v="5"/>
    <x v="1"/>
    <x v="5"/>
    <x v="4"/>
    <x v="5"/>
  </r>
  <r>
    <x v="6"/>
    <x v="6"/>
    <x v="2"/>
    <x v="6"/>
    <x v="5"/>
    <x v="6"/>
  </r>
  <r>
    <x v="7"/>
    <x v="7"/>
    <x v="0"/>
    <x v="7"/>
    <x v="1"/>
    <x v="7"/>
  </r>
  <r>
    <x v="8"/>
    <x v="8"/>
    <x v="1"/>
    <x v="8"/>
    <x v="3"/>
    <x v="8"/>
  </r>
  <r>
    <x v="9"/>
    <x v="9"/>
    <x v="2"/>
    <x v="9"/>
    <x v="2"/>
    <x v="9"/>
  </r>
  <r>
    <x v="10"/>
    <x v="10"/>
    <x v="0"/>
    <x v="10"/>
    <x v="1"/>
    <x v="10"/>
  </r>
  <r>
    <x v="11"/>
    <x v="11"/>
    <x v="2"/>
    <x v="11"/>
    <x v="3"/>
    <x v="11"/>
  </r>
  <r>
    <x v="12"/>
    <x v="12"/>
    <x v="0"/>
    <x v="0"/>
    <x v="0"/>
    <x v="12"/>
  </r>
  <r>
    <x v="13"/>
    <x v="13"/>
    <x v="1"/>
    <x v="3"/>
    <x v="2"/>
    <x v="13"/>
  </r>
  <r>
    <x v="14"/>
    <x v="14"/>
    <x v="0"/>
    <x v="7"/>
    <x v="0"/>
    <x v="14"/>
  </r>
  <r>
    <x v="15"/>
    <x v="15"/>
    <x v="2"/>
    <x v="6"/>
    <x v="3"/>
    <x v="15"/>
  </r>
  <r>
    <x v="16"/>
    <x v="16"/>
    <x v="2"/>
    <x v="2"/>
    <x v="1"/>
    <x v="16"/>
  </r>
  <r>
    <x v="17"/>
    <x v="17"/>
    <x v="0"/>
    <x v="0"/>
    <x v="2"/>
    <x v="17"/>
  </r>
  <r>
    <x v="18"/>
    <x v="18"/>
    <x v="1"/>
    <x v="5"/>
    <x v="4"/>
    <x v="18"/>
  </r>
  <r>
    <x v="19"/>
    <x v="19"/>
    <x v="2"/>
    <x v="4"/>
    <x v="1"/>
    <x v="19"/>
  </r>
  <r>
    <x v="20"/>
    <x v="20"/>
    <x v="0"/>
    <x v="10"/>
    <x v="3"/>
    <x v="8"/>
  </r>
  <r>
    <x v="21"/>
    <x v="21"/>
    <x v="2"/>
    <x v="6"/>
    <x v="1"/>
    <x v="20"/>
  </r>
  <r>
    <x v="22"/>
    <x v="22"/>
    <x v="1"/>
    <x v="1"/>
    <x v="3"/>
    <x v="21"/>
  </r>
  <r>
    <x v="23"/>
    <x v="23"/>
    <x v="1"/>
    <x v="3"/>
    <x v="0"/>
    <x v="22"/>
  </r>
  <r>
    <x v="24"/>
    <x v="24"/>
    <x v="2"/>
    <x v="11"/>
    <x v="2"/>
    <x v="23"/>
  </r>
  <r>
    <x v="25"/>
    <x v="25"/>
    <x v="1"/>
    <x v="12"/>
    <x v="0"/>
    <x v="24"/>
  </r>
  <r>
    <x v="26"/>
    <x v="26"/>
    <x v="2"/>
    <x v="9"/>
    <x v="1"/>
    <x v="25"/>
  </r>
  <r>
    <x v="27"/>
    <x v="27"/>
    <x v="1"/>
    <x v="8"/>
    <x v="4"/>
    <x v="26"/>
  </r>
  <r>
    <x v="28"/>
    <x v="28"/>
    <x v="0"/>
    <x v="13"/>
    <x v="5"/>
    <x v="27"/>
  </r>
  <r>
    <x v="29"/>
    <x v="29"/>
    <x v="1"/>
    <x v="1"/>
    <x v="3"/>
    <x v="28"/>
  </r>
  <r>
    <x v="30"/>
    <x v="30"/>
    <x v="1"/>
    <x v="12"/>
    <x v="1"/>
    <x v="29"/>
  </r>
  <r>
    <x v="31"/>
    <x v="31"/>
    <x v="0"/>
    <x v="0"/>
    <x v="5"/>
    <x v="30"/>
  </r>
  <r>
    <x v="32"/>
    <x v="32"/>
    <x v="2"/>
    <x v="2"/>
    <x v="0"/>
    <x v="31"/>
  </r>
  <r>
    <x v="33"/>
    <x v="16"/>
    <x v="0"/>
    <x v="13"/>
    <x v="3"/>
    <x v="32"/>
  </r>
  <r>
    <x v="34"/>
    <x v="33"/>
    <x v="2"/>
    <x v="4"/>
    <x v="1"/>
    <x v="33"/>
  </r>
  <r>
    <x v="35"/>
    <x v="34"/>
    <x v="0"/>
    <x v="10"/>
    <x v="4"/>
    <x v="34"/>
  </r>
  <r>
    <x v="36"/>
    <x v="35"/>
    <x v="1"/>
    <x v="8"/>
    <x v="1"/>
    <x v="35"/>
  </r>
  <r>
    <x v="37"/>
    <x v="36"/>
    <x v="2"/>
    <x v="11"/>
    <x v="5"/>
    <x v="36"/>
  </r>
  <r>
    <x v="38"/>
    <x v="37"/>
    <x v="0"/>
    <x v="0"/>
    <x v="2"/>
    <x v="37"/>
  </r>
  <r>
    <x v="39"/>
    <x v="38"/>
    <x v="1"/>
    <x v="1"/>
    <x v="1"/>
    <x v="38"/>
  </r>
  <r>
    <x v="40"/>
    <x v="39"/>
    <x v="2"/>
    <x v="2"/>
    <x v="3"/>
    <x v="39"/>
  </r>
  <r>
    <x v="41"/>
    <x v="40"/>
    <x v="1"/>
    <x v="3"/>
    <x v="2"/>
    <x v="40"/>
  </r>
  <r>
    <x v="42"/>
    <x v="41"/>
    <x v="1"/>
    <x v="8"/>
    <x v="0"/>
    <x v="41"/>
  </r>
  <r>
    <x v="43"/>
    <x v="42"/>
    <x v="0"/>
    <x v="7"/>
    <x v="3"/>
    <x v="42"/>
  </r>
  <r>
    <x v="44"/>
    <x v="43"/>
    <x v="2"/>
    <x v="4"/>
    <x v="1"/>
    <x v="43"/>
  </r>
  <r>
    <x v="45"/>
    <x v="44"/>
    <x v="0"/>
    <x v="14"/>
    <x v="0"/>
    <x v="44"/>
  </r>
  <r>
    <x v="46"/>
    <x v="45"/>
    <x v="0"/>
    <x v="0"/>
    <x v="4"/>
    <x v="45"/>
  </r>
  <r>
    <x v="47"/>
    <x v="46"/>
    <x v="2"/>
    <x v="6"/>
    <x v="1"/>
    <x v="46"/>
  </r>
  <r>
    <x v="48"/>
    <x v="47"/>
    <x v="0"/>
    <x v="10"/>
    <x v="3"/>
    <x v="47"/>
  </r>
  <r>
    <x v="49"/>
    <x v="48"/>
    <x v="1"/>
    <x v="3"/>
    <x v="0"/>
    <x v="8"/>
  </r>
  <r>
    <x v="50"/>
    <x v="49"/>
    <x v="1"/>
    <x v="1"/>
    <x v="2"/>
    <x v="48"/>
  </r>
  <r>
    <x v="51"/>
    <x v="50"/>
    <x v="2"/>
    <x v="2"/>
    <x v="2"/>
    <x v="49"/>
  </r>
  <r>
    <x v="52"/>
    <x v="51"/>
    <x v="0"/>
    <x v="14"/>
    <x v="4"/>
    <x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7E7E1E-018D-4791-AA05-66BF8217092C}" name="PivotTable1" cacheId="6" applyNumberFormats="0" applyBorderFormats="0" applyFontFormats="0" applyPatternFormats="0" applyAlignmentFormats="0" applyWidthHeightFormats="1" dataCaption="ערכים" updatedVersion="6" minRefreshableVersion="3" showCalcMbrs="0" useAutoFormatting="1" itemPrintTitles="1" createdVersion="3" indent="0" outline="1" outlineData="1" multipleFieldFilters="0">
  <location ref="A13:Q21" firstHeaderRow="1" firstDataRow="2" firstDataCol="1" rowPageCount="1" colPageCount="1"/>
  <pivotFields count="6">
    <pivotField showAll="0"/>
    <pivotField showAll="0"/>
    <pivotField axis="axisPage" showAll="0">
      <items count="4">
        <item x="0"/>
        <item x="1"/>
        <item x="2"/>
        <item t="default"/>
      </items>
    </pivotField>
    <pivotField axis="axisCol" showAll="0">
      <items count="16">
        <item x="13"/>
        <item x="0"/>
        <item x="14"/>
        <item x="5"/>
        <item x="12"/>
        <item x="2"/>
        <item x="11"/>
        <item x="9"/>
        <item x="8"/>
        <item x="10"/>
        <item x="3"/>
        <item x="4"/>
        <item x="6"/>
        <item x="7"/>
        <item x="1"/>
        <item t="default"/>
      </items>
    </pivotField>
    <pivotField axis="axisRow" showAll="0">
      <items count="7">
        <item x="2"/>
        <item x="1"/>
        <item x="5"/>
        <item x="3"/>
        <item x="4"/>
        <item x="0"/>
        <item t="default"/>
      </items>
    </pivotField>
    <pivotField dataField="1" showAll="0"/>
  </pivotFields>
  <rowFields count="1">
    <field x="4"/>
  </rowFields>
  <rowItems count="7">
    <i>
      <x/>
    </i>
    <i>
      <x v="1"/>
    </i>
    <i>
      <x v="2"/>
    </i>
    <i>
      <x v="3"/>
    </i>
    <i>
      <x v="4"/>
    </i>
    <i>
      <x v="5"/>
    </i>
    <i t="grand">
      <x/>
    </i>
  </rowItems>
  <colFields count="1">
    <field x="3"/>
  </colFields>
  <colItems count="16">
    <i>
      <x/>
    </i>
    <i>
      <x v="1"/>
    </i>
    <i>
      <x v="2"/>
    </i>
    <i>
      <x v="3"/>
    </i>
    <i>
      <x v="4"/>
    </i>
    <i>
      <x v="5"/>
    </i>
    <i>
      <x v="6"/>
    </i>
    <i>
      <x v="7"/>
    </i>
    <i>
      <x v="8"/>
    </i>
    <i>
      <x v="9"/>
    </i>
    <i>
      <x v="10"/>
    </i>
    <i>
      <x v="11"/>
    </i>
    <i>
      <x v="12"/>
    </i>
    <i>
      <x v="13"/>
    </i>
    <i>
      <x v="14"/>
    </i>
    <i t="grand">
      <x/>
    </i>
  </colItems>
  <pageFields count="1">
    <pageField fld="2" hier="-1"/>
  </pageFields>
  <dataFields count="1">
    <dataField name="סכום של תשלום"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6"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1:E9" firstHeaderRow="1" firstDataRow="2" firstDataCol="1"/>
  <pivotFields count="6">
    <pivotField showAll="0"/>
    <pivotField showAll="0"/>
    <pivotField axis="axisCol" showAll="0">
      <items count="4">
        <item x="0"/>
        <item x="1"/>
        <item x="2"/>
        <item t="default"/>
      </items>
    </pivotField>
    <pivotField showAll="0">
      <items count="16">
        <item x="13"/>
        <item x="0"/>
        <item x="14"/>
        <item x="5"/>
        <item x="12"/>
        <item x="2"/>
        <item x="11"/>
        <item x="9"/>
        <item x="8"/>
        <item x="10"/>
        <item x="3"/>
        <item x="4"/>
        <item x="6"/>
        <item x="7"/>
        <item x="1"/>
        <item t="default"/>
      </items>
    </pivotField>
    <pivotField axis="axisRow" showAll="0">
      <items count="7">
        <item x="2"/>
        <item x="1"/>
        <item x="5"/>
        <item x="3"/>
        <item x="4"/>
        <item x="0"/>
        <item t="default"/>
      </items>
    </pivotField>
    <pivotField dataField="1" showAll="0"/>
  </pivotFields>
  <rowFields count="1">
    <field x="4"/>
  </rowFields>
  <rowItems count="7">
    <i>
      <x/>
    </i>
    <i>
      <x v="1"/>
    </i>
    <i>
      <x v="2"/>
    </i>
    <i>
      <x v="3"/>
    </i>
    <i>
      <x v="4"/>
    </i>
    <i>
      <x v="5"/>
    </i>
    <i t="grand">
      <x/>
    </i>
  </rowItems>
  <colFields count="1">
    <field x="2"/>
  </colFields>
  <colItems count="4">
    <i>
      <x/>
    </i>
    <i>
      <x v="1"/>
    </i>
    <i>
      <x v="2"/>
    </i>
    <i t="grand">
      <x/>
    </i>
  </colItems>
  <dataFields count="1">
    <dataField name="Sum of תשלום"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853AF4-439E-4681-B813-2D8E71C6A09E}" name="PivotTable6" cacheId="6" applyNumberFormats="0" applyBorderFormats="0" applyFontFormats="0" applyPatternFormats="0" applyAlignmentFormats="0" applyWidthHeightFormats="1" dataCaption="ערכים" updatedVersion="6" minRefreshableVersion="3" showCalcMbrs="0" useAutoFormatting="1" itemPrintTitles="1" createdVersion="3" indent="0" outline="1" outlineData="1" multipleFieldFilters="0">
  <location ref="A58:E66" firstHeaderRow="1" firstDataRow="2" firstDataCol="1" rowPageCount="1" colPageCount="1"/>
  <pivotFields count="6">
    <pivotField axis="axisPage"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axis="axisCol" showAll="0">
      <items count="4">
        <item x="0"/>
        <item x="1"/>
        <item x="2"/>
        <item t="default"/>
      </items>
    </pivotField>
    <pivotField showAll="0"/>
    <pivotField axis="axisRow" showAll="0">
      <items count="7">
        <item x="2"/>
        <item x="1"/>
        <item x="5"/>
        <item x="3"/>
        <item x="4"/>
        <item x="0"/>
        <item t="default"/>
      </items>
    </pivotField>
    <pivotField dataField="1" showAll="0"/>
  </pivotFields>
  <rowFields count="1">
    <field x="4"/>
  </rowFields>
  <rowItems count="7">
    <i>
      <x/>
    </i>
    <i>
      <x v="1"/>
    </i>
    <i>
      <x v="2"/>
    </i>
    <i>
      <x v="3"/>
    </i>
    <i>
      <x v="4"/>
    </i>
    <i>
      <x v="5"/>
    </i>
    <i t="grand">
      <x/>
    </i>
  </rowItems>
  <colFields count="1">
    <field x="2"/>
  </colFields>
  <colItems count="4">
    <i>
      <x/>
    </i>
    <i>
      <x v="1"/>
    </i>
    <i>
      <x v="2"/>
    </i>
    <i t="grand">
      <x/>
    </i>
  </colItems>
  <pageFields count="1">
    <pageField fld="0" hier="-1"/>
  </pageFields>
  <dataFields count="1">
    <dataField name="מינימום של תשלום" fld="5" subtotal="min" baseField="4"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70031D-BCE8-45BE-9BD6-11A732D00308}" name="PivotTable5" cacheId="6" applyNumberFormats="0" applyBorderFormats="0" applyFontFormats="0" applyPatternFormats="0" applyAlignmentFormats="0" applyWidthHeightFormats="1" dataCaption="ערכים" updatedVersion="6" minRefreshableVersion="3" showCalcMbrs="0" useAutoFormatting="1" itemPrintTitles="1" createdVersion="3" indent="0" outline="1" outlineData="1" multipleFieldFilters="0">
  <location ref="L29:P37" firstHeaderRow="1" firstDataRow="2" firstDataCol="1"/>
  <pivotFields count="6">
    <pivotField dataField="1" showAll="0"/>
    <pivotField showAll="0"/>
    <pivotField axis="axisCol" showAll="0">
      <items count="4">
        <item x="0"/>
        <item x="1"/>
        <item x="2"/>
        <item t="default"/>
      </items>
    </pivotField>
    <pivotField showAll="0"/>
    <pivotField axis="axisRow" showAll="0">
      <items count="7">
        <item x="2"/>
        <item x="1"/>
        <item x="5"/>
        <item x="3"/>
        <item x="4"/>
        <item x="0"/>
        <item t="default"/>
      </items>
    </pivotField>
    <pivotField showAll="0"/>
  </pivotFields>
  <rowFields count="1">
    <field x="4"/>
  </rowFields>
  <rowItems count="7">
    <i>
      <x/>
    </i>
    <i>
      <x v="1"/>
    </i>
    <i>
      <x v="2"/>
    </i>
    <i>
      <x v="3"/>
    </i>
    <i>
      <x v="4"/>
    </i>
    <i>
      <x v="5"/>
    </i>
    <i t="grand">
      <x/>
    </i>
  </rowItems>
  <colFields count="1">
    <field x="2"/>
  </colFields>
  <colItems count="4">
    <i>
      <x/>
    </i>
    <i>
      <x v="1"/>
    </i>
    <i>
      <x v="2"/>
    </i>
    <i t="grand">
      <x/>
    </i>
  </colItems>
  <dataFields count="1">
    <dataField name="ספירה של מזהה משפחה" fld="0" subtotal="count" baseField="4"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B7B5F0-4D88-4905-8422-A863BD867B89}" name="PivotTable4" cacheId="6" applyNumberFormats="0" applyBorderFormats="0" applyFontFormats="0" applyPatternFormats="0" applyAlignmentFormats="0" applyWidthHeightFormats="1" dataCaption="ערכים" updatedVersion="6" minRefreshableVersion="3" showCalcMbrs="0" useAutoFormatting="1" itemPrintTitles="1" createdVersion="3" indent="0" outline="1" outlineData="1" multipleFieldFilters="0">
  <location ref="A29:H36" firstHeaderRow="1" firstDataRow="2" firstDataCol="1" rowPageCount="1" colPageCount="1"/>
  <pivotFields count="6">
    <pivotField showAll="0"/>
    <pivotField showAll="0"/>
    <pivotField axis="axisPage" showAll="0">
      <items count="4">
        <item x="0"/>
        <item x="1"/>
        <item x="2"/>
        <item t="default"/>
      </items>
    </pivotField>
    <pivotField axis="axisRow" showAll="0">
      <items count="16">
        <item x="13"/>
        <item x="0"/>
        <item x="14"/>
        <item x="5"/>
        <item x="12"/>
        <item x="2"/>
        <item x="11"/>
        <item x="9"/>
        <item x="8"/>
        <item x="10"/>
        <item x="3"/>
        <item x="4"/>
        <item x="6"/>
        <item x="7"/>
        <item x="1"/>
        <item t="default"/>
      </items>
    </pivotField>
    <pivotField axis="axisCol" showAll="0">
      <items count="7">
        <item x="2"/>
        <item x="1"/>
        <item x="5"/>
        <item x="3"/>
        <item x="4"/>
        <item x="0"/>
        <item t="default"/>
      </items>
    </pivotField>
    <pivotField dataField="1" showAll="0"/>
  </pivotFields>
  <rowFields count="1">
    <field x="3"/>
  </rowFields>
  <rowItems count="6">
    <i>
      <x/>
    </i>
    <i>
      <x v="1"/>
    </i>
    <i>
      <x v="2"/>
    </i>
    <i>
      <x v="9"/>
    </i>
    <i>
      <x v="13"/>
    </i>
    <i t="grand">
      <x/>
    </i>
  </rowItems>
  <colFields count="1">
    <field x="4"/>
  </colFields>
  <colItems count="7">
    <i>
      <x/>
    </i>
    <i>
      <x v="1"/>
    </i>
    <i>
      <x v="2"/>
    </i>
    <i>
      <x v="3"/>
    </i>
    <i>
      <x v="4"/>
    </i>
    <i>
      <x v="5"/>
    </i>
    <i t="grand">
      <x/>
    </i>
  </colItems>
  <pageFields count="1">
    <pageField fld="2" item="0" hier="-1"/>
  </pageFields>
  <dataFields count="1">
    <dataField name="סכום של תשלום"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7F829D4-4D33-4750-8539-0FD3BBC3A7DA}" name="PivotTable3" cacheId="6" applyNumberFormats="0" applyBorderFormats="0" applyFontFormats="0" applyPatternFormats="0" applyAlignmentFormats="0" applyWidthHeightFormats="1" dataCaption="ערכים" updatedVersion="6" minRefreshableVersion="3" showCalcMbrs="0" useAutoFormatting="1" itemPrintTitles="1" createdVersion="3" indent="0" outline="1" outlineData="1" multipleFieldFilters="0">
  <location ref="L2:S19" firstHeaderRow="1" firstDataRow="2" firstDataCol="1"/>
  <pivotFields count="6">
    <pivotField showAll="0"/>
    <pivotField showAll="0"/>
    <pivotField showAll="0"/>
    <pivotField axis="axisRow" showAll="0">
      <items count="16">
        <item x="13"/>
        <item x="0"/>
        <item x="14"/>
        <item x="5"/>
        <item x="12"/>
        <item x="2"/>
        <item x="11"/>
        <item x="9"/>
        <item x="8"/>
        <item x="10"/>
        <item x="3"/>
        <item x="4"/>
        <item x="6"/>
        <item x="7"/>
        <item x="1"/>
        <item t="default"/>
      </items>
    </pivotField>
    <pivotField axis="axisCol" showAll="0">
      <items count="7">
        <item x="2"/>
        <item x="1"/>
        <item x="5"/>
        <item x="3"/>
        <item x="4"/>
        <item x="0"/>
        <item t="default"/>
      </items>
    </pivotField>
    <pivotField dataField="1" showAll="0"/>
  </pivotFields>
  <rowFields count="1">
    <field x="3"/>
  </rowFields>
  <rowItems count="16">
    <i>
      <x/>
    </i>
    <i>
      <x v="1"/>
    </i>
    <i>
      <x v="2"/>
    </i>
    <i>
      <x v="3"/>
    </i>
    <i>
      <x v="4"/>
    </i>
    <i>
      <x v="5"/>
    </i>
    <i>
      <x v="6"/>
    </i>
    <i>
      <x v="7"/>
    </i>
    <i>
      <x v="8"/>
    </i>
    <i>
      <x v="9"/>
    </i>
    <i>
      <x v="10"/>
    </i>
    <i>
      <x v="11"/>
    </i>
    <i>
      <x v="12"/>
    </i>
    <i>
      <x v="13"/>
    </i>
    <i>
      <x v="14"/>
    </i>
    <i t="grand">
      <x/>
    </i>
  </rowItems>
  <colFields count="1">
    <field x="4"/>
  </colFields>
  <colItems count="7">
    <i>
      <x/>
    </i>
    <i>
      <x v="1"/>
    </i>
    <i>
      <x v="2"/>
    </i>
    <i>
      <x v="3"/>
    </i>
    <i>
      <x v="4"/>
    </i>
    <i>
      <x v="5"/>
    </i>
    <i t="grand">
      <x/>
    </i>
  </colItems>
  <dataFields count="1">
    <dataField name="סכום של תשלום"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E6E863-0242-4EBF-A6C7-96BD4AA9D95E}" name="PivotTable2" cacheId="6" applyNumberFormats="0" applyBorderFormats="0" applyFontFormats="0" applyPatternFormats="0" applyAlignmentFormats="0" applyWidthHeightFormats="1" dataCaption="ערכים" updatedVersion="6" minRefreshableVersion="3" showCalcMbrs="0" useAutoFormatting="1" itemPrintTitles="1" createdVersion="3" indent="0" outline="1" outlineData="1" multipleFieldFilters="0">
  <location ref="A2:H7" firstHeaderRow="1" firstDataRow="2" firstDataCol="1"/>
  <pivotFields count="6">
    <pivotField showAll="0"/>
    <pivotField showAll="0"/>
    <pivotField axis="axisRow" showAll="0">
      <items count="4">
        <item x="0"/>
        <item x="1"/>
        <item x="2"/>
        <item t="default"/>
      </items>
    </pivotField>
    <pivotField showAll="0"/>
    <pivotField axis="axisCol" showAll="0">
      <items count="7">
        <item x="2"/>
        <item x="1"/>
        <item x="5"/>
        <item x="3"/>
        <item x="4"/>
        <item x="0"/>
        <item t="default"/>
      </items>
    </pivotField>
    <pivotField dataField="1" showAll="0"/>
  </pivotFields>
  <rowFields count="1">
    <field x="2"/>
  </rowFields>
  <rowItems count="4">
    <i>
      <x/>
    </i>
    <i>
      <x v="1"/>
    </i>
    <i>
      <x v="2"/>
    </i>
    <i t="grand">
      <x/>
    </i>
  </rowItems>
  <colFields count="1">
    <field x="4"/>
  </colFields>
  <colItems count="7">
    <i>
      <x/>
    </i>
    <i>
      <x v="1"/>
    </i>
    <i>
      <x v="2"/>
    </i>
    <i>
      <x v="3"/>
    </i>
    <i>
      <x v="4"/>
    </i>
    <i>
      <x v="5"/>
    </i>
    <i t="grand">
      <x/>
    </i>
  </colItems>
  <dataFields count="1">
    <dataField name="ממוצע של תשלום" fld="5" subtotal="average" baseField="4"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7"/>
  </sheetPr>
  <dimension ref="A1:N24"/>
  <sheetViews>
    <sheetView rightToLeft="1" topLeftCell="A2" zoomScaleNormal="100" workbookViewId="0">
      <selection activeCell="B4" sqref="B4"/>
    </sheetView>
  </sheetViews>
  <sheetFormatPr defaultRowHeight="13.2" x14ac:dyDescent="0.25"/>
  <cols>
    <col min="1" max="1" width="10.21875" bestFit="1" customWidth="1"/>
    <col min="2" max="2" width="4.21875" bestFit="1" customWidth="1"/>
    <col min="4" max="4" width="10.21875" bestFit="1" customWidth="1"/>
    <col min="5" max="5" width="4.21875" bestFit="1" customWidth="1"/>
    <col min="7" max="7" width="10.21875" bestFit="1" customWidth="1"/>
    <col min="8" max="8" width="4.21875" bestFit="1" customWidth="1"/>
    <col min="10" max="10" width="10.44140625" customWidth="1"/>
    <col min="11" max="11" width="9.6640625" customWidth="1"/>
    <col min="13" max="13" width="10.21875" bestFit="1" customWidth="1"/>
    <col min="14" max="14" width="9.21875" customWidth="1"/>
  </cols>
  <sheetData>
    <row r="1" spans="1:14" ht="13.8" x14ac:dyDescent="0.25">
      <c r="A1" s="38">
        <v>1</v>
      </c>
      <c r="B1" s="38"/>
      <c r="D1" s="38">
        <v>2</v>
      </c>
      <c r="E1" s="38"/>
      <c r="G1" s="38">
        <v>3</v>
      </c>
      <c r="H1" s="38"/>
      <c r="J1" s="38">
        <v>4</v>
      </c>
      <c r="K1" s="38"/>
      <c r="M1" s="38">
        <v>5</v>
      </c>
      <c r="N1" s="38"/>
    </row>
    <row r="3" spans="1:14" x14ac:dyDescent="0.25">
      <c r="A3" s="34" t="s">
        <v>130</v>
      </c>
      <c r="B3" s="34" t="s">
        <v>131</v>
      </c>
      <c r="D3" s="34" t="s">
        <v>130</v>
      </c>
      <c r="E3" s="34" t="s">
        <v>131</v>
      </c>
      <c r="G3" s="34" t="s">
        <v>130</v>
      </c>
      <c r="H3" s="34" t="s">
        <v>131</v>
      </c>
      <c r="J3" s="34" t="s">
        <v>130</v>
      </c>
      <c r="K3" s="34" t="s">
        <v>131</v>
      </c>
      <c r="M3" s="34" t="s">
        <v>130</v>
      </c>
      <c r="N3" s="34" t="s">
        <v>131</v>
      </c>
    </row>
    <row r="4" spans="1:14" x14ac:dyDescent="0.25">
      <c r="A4" s="35">
        <v>42005</v>
      </c>
      <c r="B4" s="36">
        <v>0</v>
      </c>
      <c r="D4" s="35">
        <v>42005</v>
      </c>
      <c r="E4" s="36">
        <v>0</v>
      </c>
      <c r="G4" s="35">
        <v>42005</v>
      </c>
      <c r="H4" s="36">
        <v>0</v>
      </c>
      <c r="J4" s="35">
        <v>42005</v>
      </c>
      <c r="K4" s="36">
        <v>0</v>
      </c>
      <c r="M4" s="35">
        <v>42005</v>
      </c>
      <c r="N4" s="36">
        <v>0</v>
      </c>
    </row>
    <row r="5" spans="1:14" x14ac:dyDescent="0.25">
      <c r="A5" s="35">
        <v>42007</v>
      </c>
      <c r="B5" s="36">
        <v>14</v>
      </c>
      <c r="D5" s="35">
        <v>42007</v>
      </c>
      <c r="E5" s="36">
        <v>14</v>
      </c>
      <c r="G5" s="35">
        <v>42007</v>
      </c>
      <c r="H5" s="36">
        <v>14</v>
      </c>
      <c r="J5" s="35">
        <v>42007</v>
      </c>
      <c r="K5" s="36">
        <v>14</v>
      </c>
      <c r="M5" s="35">
        <v>42007</v>
      </c>
      <c r="N5" s="36">
        <v>14</v>
      </c>
    </row>
    <row r="6" spans="1:14" x14ac:dyDescent="0.25">
      <c r="A6" s="35">
        <v>42013</v>
      </c>
      <c r="B6" s="36">
        <v>30</v>
      </c>
      <c r="D6" s="35">
        <v>42013</v>
      </c>
      <c r="E6" s="36">
        <v>30</v>
      </c>
      <c r="G6" s="35">
        <v>42013</v>
      </c>
      <c r="H6" s="36">
        <v>30</v>
      </c>
      <c r="J6" s="35">
        <v>42013</v>
      </c>
      <c r="K6" s="36">
        <v>30</v>
      </c>
      <c r="M6" s="35">
        <v>42013</v>
      </c>
      <c r="N6" s="36">
        <v>30</v>
      </c>
    </row>
    <row r="7" spans="1:14" x14ac:dyDescent="0.25">
      <c r="A7" s="35">
        <v>42014</v>
      </c>
      <c r="B7" s="36">
        <v>25</v>
      </c>
      <c r="D7" s="35">
        <v>42014</v>
      </c>
      <c r="E7" s="36">
        <v>25</v>
      </c>
      <c r="G7" s="35">
        <v>42014</v>
      </c>
      <c r="H7" s="36">
        <v>25</v>
      </c>
      <c r="J7" s="35">
        <v>42014</v>
      </c>
      <c r="K7" s="36">
        <v>25</v>
      </c>
      <c r="M7" s="35">
        <v>42014</v>
      </c>
      <c r="N7" s="36">
        <v>25</v>
      </c>
    </row>
    <row r="8" spans="1:14" x14ac:dyDescent="0.25">
      <c r="A8" s="35">
        <v>42096</v>
      </c>
      <c r="B8" s="36">
        <v>7</v>
      </c>
      <c r="D8" s="35">
        <v>42096</v>
      </c>
      <c r="E8" s="36">
        <v>7</v>
      </c>
      <c r="G8" s="35">
        <v>42096</v>
      </c>
      <c r="H8" s="36">
        <v>7</v>
      </c>
      <c r="J8" s="35">
        <v>42096</v>
      </c>
      <c r="K8" s="36">
        <v>7</v>
      </c>
      <c r="M8" s="35">
        <v>42096</v>
      </c>
      <c r="N8" s="36">
        <v>7</v>
      </c>
    </row>
    <row r="9" spans="1:14" x14ac:dyDescent="0.25">
      <c r="A9" s="35">
        <v>42132</v>
      </c>
      <c r="B9" s="36">
        <v>35</v>
      </c>
      <c r="D9" s="35">
        <v>42132</v>
      </c>
      <c r="E9" s="36">
        <v>35</v>
      </c>
      <c r="G9" s="35">
        <v>42132</v>
      </c>
      <c r="H9" s="36">
        <v>35</v>
      </c>
      <c r="J9" s="35">
        <v>42132</v>
      </c>
      <c r="K9" s="36">
        <v>35</v>
      </c>
      <c r="M9" s="35">
        <v>42132</v>
      </c>
      <c r="N9" s="36">
        <v>35</v>
      </c>
    </row>
    <row r="10" spans="1:14" x14ac:dyDescent="0.25">
      <c r="A10" s="35">
        <v>42186</v>
      </c>
      <c r="B10" s="36">
        <v>3</v>
      </c>
      <c r="D10" s="35">
        <v>42186</v>
      </c>
      <c r="E10" s="36">
        <v>3</v>
      </c>
      <c r="G10" s="35">
        <v>42186</v>
      </c>
      <c r="H10" s="36">
        <v>3</v>
      </c>
      <c r="J10" s="35">
        <v>42186</v>
      </c>
      <c r="K10" s="36">
        <v>3</v>
      </c>
      <c r="M10" s="35">
        <v>42186</v>
      </c>
      <c r="N10" s="36">
        <v>3</v>
      </c>
    </row>
    <row r="11" spans="1:14" x14ac:dyDescent="0.25">
      <c r="A11" s="35">
        <v>42218</v>
      </c>
      <c r="B11" s="36">
        <v>9</v>
      </c>
      <c r="D11" s="35">
        <v>42218</v>
      </c>
      <c r="E11" s="36">
        <v>9</v>
      </c>
      <c r="G11" s="35">
        <v>42218</v>
      </c>
      <c r="H11" s="36">
        <v>9</v>
      </c>
      <c r="J11" s="35">
        <v>42218</v>
      </c>
      <c r="K11" s="36">
        <v>9</v>
      </c>
      <c r="M11" s="35">
        <v>42218</v>
      </c>
      <c r="N11" s="36">
        <v>9</v>
      </c>
    </row>
    <row r="12" spans="1:14" x14ac:dyDescent="0.25">
      <c r="A12" s="35">
        <v>42285</v>
      </c>
      <c r="B12" s="36">
        <v>42</v>
      </c>
      <c r="D12" s="35">
        <v>42285</v>
      </c>
      <c r="E12" s="36">
        <v>42</v>
      </c>
      <c r="G12" s="35">
        <v>42285</v>
      </c>
      <c r="H12" s="36">
        <v>42</v>
      </c>
      <c r="J12" s="35">
        <v>42285</v>
      </c>
      <c r="K12" s="36">
        <v>42</v>
      </c>
      <c r="M12" s="35">
        <v>42285</v>
      </c>
      <c r="N12" s="36">
        <v>42</v>
      </c>
    </row>
    <row r="13" spans="1:14" x14ac:dyDescent="0.25">
      <c r="A13" s="35">
        <v>42287</v>
      </c>
      <c r="B13" s="36">
        <v>23</v>
      </c>
      <c r="D13" s="35">
        <v>42287</v>
      </c>
      <c r="E13" s="36">
        <v>23</v>
      </c>
      <c r="G13" s="35">
        <v>42287</v>
      </c>
      <c r="H13" s="36">
        <v>23</v>
      </c>
      <c r="J13" s="35">
        <v>42287</v>
      </c>
      <c r="K13" s="36">
        <v>23</v>
      </c>
      <c r="M13" s="35">
        <v>42287</v>
      </c>
      <c r="N13" s="36">
        <v>23</v>
      </c>
    </row>
    <row r="14" spans="1:14" x14ac:dyDescent="0.25">
      <c r="A14" s="37" t="s">
        <v>132</v>
      </c>
      <c r="B14" s="36">
        <v>5</v>
      </c>
      <c r="D14" s="37" t="s">
        <v>132</v>
      </c>
      <c r="E14" s="36">
        <v>5</v>
      </c>
      <c r="G14" s="37" t="s">
        <v>132</v>
      </c>
      <c r="H14" s="36">
        <v>5</v>
      </c>
      <c r="J14" s="37" t="s">
        <v>132</v>
      </c>
      <c r="K14" s="36">
        <v>5</v>
      </c>
      <c r="M14" s="37" t="s">
        <v>132</v>
      </c>
      <c r="N14" s="36">
        <v>5</v>
      </c>
    </row>
    <row r="15" spans="1:14" x14ac:dyDescent="0.25">
      <c r="A15" s="37" t="s">
        <v>133</v>
      </c>
      <c r="B15" s="36">
        <v>19</v>
      </c>
      <c r="D15" s="37" t="s">
        <v>133</v>
      </c>
      <c r="E15" s="36">
        <v>19</v>
      </c>
      <c r="G15" s="37" t="s">
        <v>133</v>
      </c>
      <c r="H15" s="36">
        <v>19</v>
      </c>
      <c r="J15" s="37" t="s">
        <v>133</v>
      </c>
      <c r="K15" s="36">
        <v>19</v>
      </c>
      <c r="M15" s="37" t="s">
        <v>133</v>
      </c>
      <c r="N15" s="36">
        <v>19</v>
      </c>
    </row>
    <row r="16" spans="1:14" x14ac:dyDescent="0.25">
      <c r="A16" s="37" t="s">
        <v>134</v>
      </c>
      <c r="B16" s="36">
        <v>26</v>
      </c>
      <c r="D16" s="37" t="s">
        <v>134</v>
      </c>
      <c r="E16" s="36">
        <v>26</v>
      </c>
      <c r="G16" s="37" t="s">
        <v>134</v>
      </c>
      <c r="H16" s="36">
        <v>26</v>
      </c>
      <c r="J16" s="37" t="s">
        <v>134</v>
      </c>
      <c r="K16" s="36">
        <v>26</v>
      </c>
      <c r="M16" s="37" t="s">
        <v>134</v>
      </c>
      <c r="N16" s="36">
        <v>26</v>
      </c>
    </row>
    <row r="17" spans="1:14" x14ac:dyDescent="0.25">
      <c r="A17" s="37" t="s">
        <v>135</v>
      </c>
      <c r="B17" s="36">
        <v>8</v>
      </c>
      <c r="D17" s="37" t="s">
        <v>135</v>
      </c>
      <c r="E17" s="36">
        <v>8</v>
      </c>
      <c r="G17" s="37" t="s">
        <v>135</v>
      </c>
      <c r="H17" s="36">
        <v>8</v>
      </c>
      <c r="J17" s="37" t="s">
        <v>135</v>
      </c>
      <c r="K17" s="36">
        <v>8</v>
      </c>
      <c r="M17" s="37" t="s">
        <v>135</v>
      </c>
      <c r="N17" s="36">
        <v>8</v>
      </c>
    </row>
    <row r="18" spans="1:14" x14ac:dyDescent="0.25">
      <c r="A18" s="37" t="s">
        <v>136</v>
      </c>
      <c r="B18" s="36">
        <v>5</v>
      </c>
      <c r="D18" s="37" t="s">
        <v>136</v>
      </c>
      <c r="E18" s="36">
        <v>5</v>
      </c>
      <c r="G18" s="37" t="s">
        <v>136</v>
      </c>
      <c r="H18" s="36">
        <v>5</v>
      </c>
      <c r="J18" s="37" t="s">
        <v>136</v>
      </c>
      <c r="K18" s="36">
        <v>5</v>
      </c>
      <c r="M18" s="37" t="s">
        <v>136</v>
      </c>
      <c r="N18" s="36">
        <v>5</v>
      </c>
    </row>
    <row r="19" spans="1:14" x14ac:dyDescent="0.25">
      <c r="A19" s="37" t="s">
        <v>137</v>
      </c>
      <c r="B19" s="36">
        <v>37</v>
      </c>
      <c r="D19" s="37" t="s">
        <v>137</v>
      </c>
      <c r="E19" s="36">
        <v>37</v>
      </c>
      <c r="G19" s="37" t="s">
        <v>137</v>
      </c>
      <c r="H19" s="36">
        <v>37</v>
      </c>
      <c r="J19" s="37" t="s">
        <v>137</v>
      </c>
      <c r="K19" s="36">
        <v>37</v>
      </c>
      <c r="M19" s="37" t="s">
        <v>137</v>
      </c>
      <c r="N19" s="36">
        <v>37</v>
      </c>
    </row>
    <row r="20" spans="1:14" x14ac:dyDescent="0.25">
      <c r="A20" s="37" t="s">
        <v>138</v>
      </c>
      <c r="B20" s="36">
        <v>38</v>
      </c>
      <c r="D20" s="37" t="s">
        <v>138</v>
      </c>
      <c r="E20" s="36">
        <v>38</v>
      </c>
      <c r="G20" s="37" t="s">
        <v>138</v>
      </c>
      <c r="H20" s="36">
        <v>38</v>
      </c>
      <c r="J20" s="37" t="s">
        <v>138</v>
      </c>
      <c r="K20" s="36">
        <v>38</v>
      </c>
      <c r="M20" s="37" t="s">
        <v>138</v>
      </c>
      <c r="N20" s="36">
        <v>38</v>
      </c>
    </row>
    <row r="21" spans="1:14" x14ac:dyDescent="0.25">
      <c r="A21" s="37" t="s">
        <v>139</v>
      </c>
      <c r="B21" s="36">
        <v>-3</v>
      </c>
      <c r="D21" s="37" t="s">
        <v>139</v>
      </c>
      <c r="E21" s="36">
        <v>-3</v>
      </c>
      <c r="G21" s="37" t="s">
        <v>139</v>
      </c>
      <c r="H21" s="36">
        <v>-3</v>
      </c>
      <c r="J21" s="37" t="s">
        <v>139</v>
      </c>
      <c r="K21" s="36">
        <v>-3</v>
      </c>
      <c r="M21" s="37" t="s">
        <v>139</v>
      </c>
      <c r="N21" s="36">
        <v>-3</v>
      </c>
    </row>
    <row r="22" spans="1:14" x14ac:dyDescent="0.25">
      <c r="A22" s="37" t="s">
        <v>140</v>
      </c>
      <c r="B22" s="36">
        <v>-1</v>
      </c>
      <c r="D22" s="37" t="s">
        <v>140</v>
      </c>
      <c r="E22" s="36">
        <v>-1</v>
      </c>
      <c r="G22" s="37" t="s">
        <v>140</v>
      </c>
      <c r="H22" s="36">
        <v>-1</v>
      </c>
      <c r="J22" s="37" t="s">
        <v>140</v>
      </c>
      <c r="K22" s="36">
        <v>-1</v>
      </c>
      <c r="M22" s="37" t="s">
        <v>140</v>
      </c>
      <c r="N22" s="36">
        <v>-1</v>
      </c>
    </row>
    <row r="23" spans="1:14" x14ac:dyDescent="0.25">
      <c r="A23" s="37" t="s">
        <v>141</v>
      </c>
      <c r="B23" s="36">
        <v>12</v>
      </c>
      <c r="D23" s="37" t="s">
        <v>141</v>
      </c>
      <c r="E23" s="36">
        <v>12</v>
      </c>
      <c r="G23" s="37" t="s">
        <v>141</v>
      </c>
      <c r="H23" s="36">
        <v>12</v>
      </c>
      <c r="J23" s="37" t="s">
        <v>141</v>
      </c>
      <c r="K23" s="36">
        <v>12</v>
      </c>
      <c r="M23" s="37" t="s">
        <v>141</v>
      </c>
      <c r="N23" s="36">
        <v>12</v>
      </c>
    </row>
    <row r="24" spans="1:14" x14ac:dyDescent="0.25">
      <c r="A24" s="37" t="s">
        <v>142</v>
      </c>
      <c r="B24" s="36">
        <v>41</v>
      </c>
      <c r="D24" s="37" t="s">
        <v>142</v>
      </c>
      <c r="E24" s="36">
        <v>41</v>
      </c>
      <c r="G24" s="37" t="s">
        <v>142</v>
      </c>
      <c r="H24" s="36">
        <v>41</v>
      </c>
      <c r="J24" s="37" t="s">
        <v>142</v>
      </c>
      <c r="K24" s="36">
        <v>41</v>
      </c>
      <c r="M24" s="37" t="s">
        <v>142</v>
      </c>
      <c r="N24" s="36">
        <v>41</v>
      </c>
    </row>
  </sheetData>
  <mergeCells count="5">
    <mergeCell ref="A1:B1"/>
    <mergeCell ref="D1:E1"/>
    <mergeCell ref="G1:H1"/>
    <mergeCell ref="J1:K1"/>
    <mergeCell ref="M1:N1"/>
  </mergeCells>
  <conditionalFormatting sqref="B4:B24">
    <cfRule type="cellIs" dxfId="3" priority="7" operator="greaterThan">
      <formula>35</formula>
    </cfRule>
    <cfRule type="cellIs" dxfId="2" priority="6" operator="lessThan">
      <formula>20</formula>
    </cfRule>
    <cfRule type="cellIs" dxfId="1" priority="5" operator="between">
      <formula>20</formula>
      <formula>35</formula>
    </cfRule>
  </conditionalFormatting>
  <conditionalFormatting sqref="E4:E24">
    <cfRule type="colorScale" priority="4">
      <colorScale>
        <cfvo type="min"/>
        <cfvo type="percentile" val="50"/>
        <cfvo type="max"/>
        <color rgb="FF5A8AC6"/>
        <color rgb="FFFCFCFF"/>
        <color rgb="FFF8696B"/>
      </colorScale>
    </cfRule>
  </conditionalFormatting>
  <conditionalFormatting sqref="H4:H24">
    <cfRule type="top10" dxfId="0" priority="3" rank="10"/>
  </conditionalFormatting>
  <conditionalFormatting sqref="K4:K24">
    <cfRule type="iconSet" priority="2">
      <iconSet iconSet="3ArrowsGray">
        <cfvo type="percent" val="0"/>
        <cfvo type="percent" val="33"/>
        <cfvo type="percent" val="67"/>
      </iconSet>
    </cfRule>
  </conditionalFormatting>
  <conditionalFormatting sqref="N4:N24">
    <cfRule type="dataBar" priority="1">
      <dataBar>
        <cfvo type="min"/>
        <cfvo type="max"/>
        <color rgb="FF638EC6"/>
      </dataBar>
      <extLst>
        <ext xmlns:x14="http://schemas.microsoft.com/office/spreadsheetml/2009/9/main" uri="{B025F937-C7B1-47D3-B67F-A62EFF666E3E}">
          <x14:id>{A6E7BDC6-F38C-463E-966D-95D438E86AB7}</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A6E7BDC6-F38C-463E-966D-95D438E86AB7}">
            <x14:dataBar minLength="0" maxLength="100" border="1" negativeBarBorderColorSameAsPositive="0">
              <x14:cfvo type="autoMin"/>
              <x14:cfvo type="autoMax"/>
              <x14:borderColor rgb="FF638EC6"/>
              <x14:negativeFillColor rgb="FFFF0000"/>
              <x14:negativeBorderColor rgb="FFFF0000"/>
              <x14:axisColor rgb="FF000000"/>
            </x14:dataBar>
          </x14:cfRule>
          <xm:sqref>N4:N24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21">
    <tabColor theme="7"/>
  </sheetPr>
  <dimension ref="A1:R44"/>
  <sheetViews>
    <sheetView rightToLeft="1" topLeftCell="N6" zoomScaleNormal="100" workbookViewId="0">
      <selection activeCell="V37" sqref="V37"/>
    </sheetView>
  </sheetViews>
  <sheetFormatPr defaultRowHeight="13.2" x14ac:dyDescent="0.25"/>
  <cols>
    <col min="1" max="1" width="12.88671875" bestFit="1" customWidth="1"/>
    <col min="2" max="2" width="12.77734375" bestFit="1" customWidth="1"/>
    <col min="3" max="3" width="8.21875" bestFit="1" customWidth="1"/>
    <col min="4" max="4" width="5" bestFit="1" customWidth="1"/>
    <col min="5" max="5" width="7.21875" bestFit="1" customWidth="1"/>
    <col min="6" max="7" width="5" bestFit="1" customWidth="1"/>
    <col min="8" max="8" width="11" bestFit="1" customWidth="1"/>
    <col min="9" max="9" width="10" bestFit="1" customWidth="1"/>
    <col min="10" max="10" width="5.33203125" bestFit="1" customWidth="1"/>
    <col min="11" max="11" width="5" bestFit="1" customWidth="1"/>
    <col min="12" max="12" width="9.33203125" bestFit="1" customWidth="1"/>
    <col min="13" max="13" width="9.5546875" bestFit="1" customWidth="1"/>
    <col min="14" max="14" width="10.21875" bestFit="1" customWidth="1"/>
    <col min="15" max="15" width="5" bestFit="1" customWidth="1"/>
    <col min="16" max="16" width="7.44140625" bestFit="1" customWidth="1"/>
    <col min="17" max="17" width="8.21875" bestFit="1" customWidth="1"/>
    <col min="18" max="18" width="10.21875" bestFit="1" customWidth="1"/>
    <col min="19" max="19" width="8.5546875" bestFit="1" customWidth="1"/>
    <col min="20" max="20" width="8.21875" bestFit="1" customWidth="1"/>
    <col min="21" max="21" width="9.21875" customWidth="1"/>
    <col min="22" max="22" width="11.77734375" customWidth="1"/>
    <col min="23" max="23" width="15.21875" bestFit="1" customWidth="1"/>
    <col min="24" max="24" width="11.77734375" customWidth="1"/>
    <col min="25" max="25" width="15.21875" bestFit="1" customWidth="1"/>
    <col min="26" max="26" width="12.5546875" customWidth="1"/>
    <col min="27" max="27" width="15.77734375" customWidth="1"/>
    <col min="28" max="28" width="6.21875" customWidth="1"/>
    <col min="29" max="29" width="9.44140625" bestFit="1" customWidth="1"/>
    <col min="30" max="30" width="9.44140625" customWidth="1"/>
    <col min="31" max="31" width="12.5546875" bestFit="1" customWidth="1"/>
    <col min="32" max="32" width="11.77734375" bestFit="1" customWidth="1"/>
  </cols>
  <sheetData>
    <row r="1" spans="1:17" x14ac:dyDescent="0.25">
      <c r="A1" s="26" t="s">
        <v>127</v>
      </c>
      <c r="B1" s="26" t="s">
        <v>125</v>
      </c>
    </row>
    <row r="2" spans="1:17" x14ac:dyDescent="0.25">
      <c r="A2" s="26" t="s">
        <v>126</v>
      </c>
      <c r="B2" t="s">
        <v>6</v>
      </c>
      <c r="C2" t="s">
        <v>8</v>
      </c>
      <c r="D2" t="s">
        <v>11</v>
      </c>
      <c r="E2" t="s">
        <v>124</v>
      </c>
    </row>
    <row r="3" spans="1:17" x14ac:dyDescent="0.25">
      <c r="A3" s="19" t="s">
        <v>12</v>
      </c>
      <c r="B3" s="21">
        <v>1402</v>
      </c>
      <c r="C3" s="21">
        <v>2664</v>
      </c>
      <c r="D3" s="21">
        <v>2251</v>
      </c>
      <c r="E3" s="21">
        <v>6317</v>
      </c>
    </row>
    <row r="4" spans="1:17" x14ac:dyDescent="0.25">
      <c r="A4" s="19" t="s">
        <v>10</v>
      </c>
      <c r="B4" s="21">
        <v>2035</v>
      </c>
      <c r="C4" s="21">
        <v>3354</v>
      </c>
      <c r="D4" s="21">
        <v>4755</v>
      </c>
      <c r="E4" s="21">
        <v>10144</v>
      </c>
    </row>
    <row r="5" spans="1:17" x14ac:dyDescent="0.25">
      <c r="A5" s="19" t="s">
        <v>19</v>
      </c>
      <c r="B5" s="21">
        <v>1159</v>
      </c>
      <c r="C5" s="21"/>
      <c r="D5" s="21">
        <v>1789</v>
      </c>
      <c r="E5" s="21">
        <v>2948</v>
      </c>
    </row>
    <row r="6" spans="1:17" x14ac:dyDescent="0.25">
      <c r="A6" s="19" t="s">
        <v>14</v>
      </c>
      <c r="B6" s="21">
        <v>2074</v>
      </c>
      <c r="C6" s="21">
        <v>2422</v>
      </c>
      <c r="D6" s="21">
        <v>1653</v>
      </c>
      <c r="E6" s="21">
        <v>6149</v>
      </c>
    </row>
    <row r="7" spans="1:17" x14ac:dyDescent="0.25">
      <c r="A7" s="19" t="s">
        <v>17</v>
      </c>
      <c r="B7" s="21">
        <v>1390</v>
      </c>
      <c r="C7" s="21">
        <v>2233</v>
      </c>
      <c r="D7" s="21"/>
      <c r="E7" s="21">
        <v>3623</v>
      </c>
    </row>
    <row r="8" spans="1:17" x14ac:dyDescent="0.25">
      <c r="A8" s="19" t="s">
        <v>7</v>
      </c>
      <c r="B8" s="21">
        <v>2932</v>
      </c>
      <c r="C8" s="21">
        <v>2237</v>
      </c>
      <c r="D8" s="21">
        <v>1398</v>
      </c>
      <c r="E8" s="21">
        <v>6567</v>
      </c>
    </row>
    <row r="9" spans="1:17" x14ac:dyDescent="0.25">
      <c r="A9" s="19" t="s">
        <v>124</v>
      </c>
      <c r="B9" s="21">
        <v>10992</v>
      </c>
      <c r="C9" s="21">
        <v>12910</v>
      </c>
      <c r="D9" s="21">
        <v>11846</v>
      </c>
      <c r="E9" s="21">
        <v>35748</v>
      </c>
    </row>
    <row r="11" spans="1:17" x14ac:dyDescent="0.25">
      <c r="A11" s="26" t="s">
        <v>3</v>
      </c>
      <c r="B11" s="19" t="s">
        <v>147</v>
      </c>
    </row>
    <row r="13" spans="1:17" x14ac:dyDescent="0.25">
      <c r="A13" s="26" t="s">
        <v>146</v>
      </c>
      <c r="B13" s="26" t="s">
        <v>145</v>
      </c>
    </row>
    <row r="14" spans="1:17" x14ac:dyDescent="0.25">
      <c r="A14" s="26" t="s">
        <v>143</v>
      </c>
      <c r="B14" t="s">
        <v>26</v>
      </c>
      <c r="C14" t="s">
        <v>1</v>
      </c>
      <c r="D14" t="s">
        <v>27</v>
      </c>
      <c r="E14" t="s">
        <v>16</v>
      </c>
      <c r="F14" t="s">
        <v>25</v>
      </c>
      <c r="G14" t="s">
        <v>0</v>
      </c>
      <c r="H14" t="s">
        <v>24</v>
      </c>
      <c r="I14" t="s">
        <v>22</v>
      </c>
      <c r="J14" t="s">
        <v>21</v>
      </c>
      <c r="K14" t="s">
        <v>23</v>
      </c>
      <c r="L14" t="s">
        <v>13</v>
      </c>
      <c r="M14" t="s">
        <v>15</v>
      </c>
      <c r="N14" t="s">
        <v>18</v>
      </c>
      <c r="O14" t="s">
        <v>20</v>
      </c>
      <c r="P14" t="s">
        <v>9</v>
      </c>
      <c r="Q14" t="s">
        <v>144</v>
      </c>
    </row>
    <row r="15" spans="1:17" x14ac:dyDescent="0.25">
      <c r="A15" s="19" t="s">
        <v>12</v>
      </c>
      <c r="B15" s="21"/>
      <c r="C15" s="21">
        <v>1402</v>
      </c>
      <c r="D15" s="21"/>
      <c r="E15" s="21"/>
      <c r="F15" s="21"/>
      <c r="G15" s="21">
        <v>853</v>
      </c>
      <c r="H15" s="21">
        <v>1020</v>
      </c>
      <c r="I15" s="21">
        <v>378</v>
      </c>
      <c r="J15" s="21"/>
      <c r="K15" s="21"/>
      <c r="L15" s="21">
        <v>1611</v>
      </c>
      <c r="M15" s="21"/>
      <c r="N15" s="21"/>
      <c r="O15" s="21"/>
      <c r="P15" s="21">
        <v>1053</v>
      </c>
      <c r="Q15" s="21">
        <v>6317</v>
      </c>
    </row>
    <row r="16" spans="1:17" x14ac:dyDescent="0.25">
      <c r="A16" s="19" t="s">
        <v>10</v>
      </c>
      <c r="B16" s="21"/>
      <c r="C16" s="21"/>
      <c r="D16" s="21"/>
      <c r="E16" s="21"/>
      <c r="F16" s="21">
        <v>404</v>
      </c>
      <c r="G16" s="21">
        <v>1144</v>
      </c>
      <c r="H16" s="21"/>
      <c r="I16" s="21">
        <v>433</v>
      </c>
      <c r="J16" s="21">
        <v>722</v>
      </c>
      <c r="K16" s="21">
        <v>1036</v>
      </c>
      <c r="L16" s="21"/>
      <c r="M16" s="21">
        <v>2057</v>
      </c>
      <c r="N16" s="21">
        <v>1121</v>
      </c>
      <c r="O16" s="21">
        <v>999</v>
      </c>
      <c r="P16" s="21">
        <v>2228</v>
      </c>
      <c r="Q16" s="21">
        <v>10144</v>
      </c>
    </row>
    <row r="17" spans="1:17" x14ac:dyDescent="0.25">
      <c r="A17" s="19" t="s">
        <v>19</v>
      </c>
      <c r="B17" s="21">
        <v>628</v>
      </c>
      <c r="C17" s="21">
        <v>531</v>
      </c>
      <c r="D17" s="21"/>
      <c r="E17" s="21"/>
      <c r="F17" s="21"/>
      <c r="G17" s="21"/>
      <c r="H17" s="21">
        <v>916</v>
      </c>
      <c r="I17" s="21"/>
      <c r="J17" s="21"/>
      <c r="K17" s="21"/>
      <c r="L17" s="21"/>
      <c r="M17" s="21"/>
      <c r="N17" s="21">
        <v>873</v>
      </c>
      <c r="O17" s="21"/>
      <c r="P17" s="21"/>
      <c r="Q17" s="21">
        <v>2948</v>
      </c>
    </row>
    <row r="18" spans="1:17" x14ac:dyDescent="0.25">
      <c r="A18" s="19" t="s">
        <v>14</v>
      </c>
      <c r="B18" s="21">
        <v>855</v>
      </c>
      <c r="C18" s="21"/>
      <c r="D18" s="21"/>
      <c r="E18" s="21"/>
      <c r="F18" s="21"/>
      <c r="G18" s="21">
        <v>342</v>
      </c>
      <c r="H18" s="21">
        <v>1108</v>
      </c>
      <c r="I18" s="21"/>
      <c r="J18" s="21">
        <v>219</v>
      </c>
      <c r="K18" s="21">
        <v>660</v>
      </c>
      <c r="L18" s="21">
        <v>266</v>
      </c>
      <c r="M18" s="21"/>
      <c r="N18" s="21">
        <v>203</v>
      </c>
      <c r="O18" s="21">
        <v>559</v>
      </c>
      <c r="P18" s="21">
        <v>1937</v>
      </c>
      <c r="Q18" s="21">
        <v>6149</v>
      </c>
    </row>
    <row r="19" spans="1:17" x14ac:dyDescent="0.25">
      <c r="A19" s="19" t="s">
        <v>17</v>
      </c>
      <c r="B19" s="21"/>
      <c r="C19" s="21">
        <v>467</v>
      </c>
      <c r="D19" s="21">
        <v>396</v>
      </c>
      <c r="E19" s="21">
        <v>1353</v>
      </c>
      <c r="F19" s="21"/>
      <c r="G19" s="21"/>
      <c r="H19" s="21"/>
      <c r="I19" s="21"/>
      <c r="J19" s="21">
        <v>880</v>
      </c>
      <c r="K19" s="21">
        <v>527</v>
      </c>
      <c r="L19" s="21"/>
      <c r="M19" s="21"/>
      <c r="N19" s="21"/>
      <c r="O19" s="21"/>
      <c r="P19" s="21"/>
      <c r="Q19" s="21">
        <v>3623</v>
      </c>
    </row>
    <row r="20" spans="1:17" x14ac:dyDescent="0.25">
      <c r="A20" s="19" t="s">
        <v>7</v>
      </c>
      <c r="B20" s="21"/>
      <c r="C20" s="21">
        <v>1534</v>
      </c>
      <c r="D20" s="21">
        <v>961</v>
      </c>
      <c r="E20" s="21"/>
      <c r="F20" s="21">
        <v>669</v>
      </c>
      <c r="G20" s="21">
        <v>934</v>
      </c>
      <c r="H20" s="21"/>
      <c r="I20" s="21"/>
      <c r="J20" s="21">
        <v>544</v>
      </c>
      <c r="K20" s="21"/>
      <c r="L20" s="21">
        <v>1024</v>
      </c>
      <c r="M20" s="21">
        <v>464</v>
      </c>
      <c r="N20" s="21"/>
      <c r="O20" s="21">
        <v>437</v>
      </c>
      <c r="P20" s="21"/>
      <c r="Q20" s="21">
        <v>6567</v>
      </c>
    </row>
    <row r="21" spans="1:17" x14ac:dyDescent="0.25">
      <c r="A21" s="19" t="s">
        <v>144</v>
      </c>
      <c r="B21" s="21">
        <v>1483</v>
      </c>
      <c r="C21" s="21">
        <v>3934</v>
      </c>
      <c r="D21" s="21">
        <v>1357</v>
      </c>
      <c r="E21" s="21">
        <v>1353</v>
      </c>
      <c r="F21" s="21">
        <v>1073</v>
      </c>
      <c r="G21" s="21">
        <v>3273</v>
      </c>
      <c r="H21" s="21">
        <v>3044</v>
      </c>
      <c r="I21" s="21">
        <v>811</v>
      </c>
      <c r="J21" s="21">
        <v>2365</v>
      </c>
      <c r="K21" s="21">
        <v>2223</v>
      </c>
      <c r="L21" s="21">
        <v>2901</v>
      </c>
      <c r="M21" s="21">
        <v>2521</v>
      </c>
      <c r="N21" s="21">
        <v>2197</v>
      </c>
      <c r="O21" s="21">
        <v>1995</v>
      </c>
      <c r="P21" s="21">
        <v>5218</v>
      </c>
      <c r="Q21" s="21">
        <v>35748</v>
      </c>
    </row>
    <row r="38" spans="14:18" x14ac:dyDescent="0.25">
      <c r="N38" s="19"/>
      <c r="O38" s="21"/>
      <c r="P38" s="21"/>
      <c r="Q38" s="21"/>
      <c r="R38" s="21"/>
    </row>
    <row r="39" spans="14:18" x14ac:dyDescent="0.25">
      <c r="N39" s="19"/>
      <c r="O39" s="21"/>
      <c r="P39" s="21"/>
      <c r="Q39" s="21"/>
      <c r="R39" s="21"/>
    </row>
    <row r="40" spans="14:18" x14ac:dyDescent="0.25">
      <c r="N40" s="19"/>
      <c r="O40" s="21"/>
      <c r="P40" s="21"/>
      <c r="Q40" s="21"/>
      <c r="R40" s="21"/>
    </row>
    <row r="41" spans="14:18" x14ac:dyDescent="0.25">
      <c r="N41" s="19"/>
      <c r="O41" s="21"/>
      <c r="P41" s="21"/>
      <c r="Q41" s="21"/>
      <c r="R41" s="21"/>
    </row>
    <row r="42" spans="14:18" x14ac:dyDescent="0.25">
      <c r="N42" s="19"/>
      <c r="O42" s="21"/>
      <c r="P42" s="21"/>
      <c r="Q42" s="21"/>
      <c r="R42" s="21"/>
    </row>
    <row r="43" spans="14:18" x14ac:dyDescent="0.25">
      <c r="N43" s="19"/>
      <c r="O43" s="21"/>
      <c r="P43" s="21"/>
      <c r="Q43" s="21"/>
      <c r="R43" s="21"/>
    </row>
    <row r="44" spans="14:18" x14ac:dyDescent="0.25">
      <c r="N44" s="19"/>
      <c r="O44" s="21"/>
      <c r="P44" s="21"/>
      <c r="Q44" s="21"/>
      <c r="R44" s="21"/>
    </row>
  </sheetData>
  <phoneticPr fontId="0" type="noConversion"/>
  <conditionalFormatting sqref="D33">
    <cfRule type="dataBar" priority="1">
      <dataBar>
        <cfvo type="min"/>
        <cfvo type="max"/>
        <color rgb="FF638EC6"/>
      </dataBar>
      <extLst>
        <ext xmlns:x14="http://schemas.microsoft.com/office/spreadsheetml/2009/9/main" uri="{B025F937-C7B1-47D3-B67F-A62EFF666E3E}">
          <x14:id>{FCDB5703-816D-47F2-B488-C2C6D4620C18}</x14:id>
        </ext>
      </extLst>
    </cfRule>
  </conditionalFormatting>
  <pageMargins left="0.75" right="0.75" top="1" bottom="1" header="0.5" footer="0.5"/>
  <pageSetup paperSize="9" orientation="portrait" horizontalDpi="4294967293" verticalDpi="300" r:id="rId3"/>
  <headerFooter alignWithMargins="0"/>
  <drawing r:id="rId4"/>
  <extLst>
    <ext xmlns:x14="http://schemas.microsoft.com/office/spreadsheetml/2009/9/main" uri="{78C0D931-6437-407d-A8EE-F0AAD7539E65}">
      <x14:conditionalFormattings>
        <x14:conditionalFormatting xmlns:xm="http://schemas.microsoft.com/office/excel/2006/main">
          <x14:cfRule type="dataBar" id="{FCDB5703-816D-47F2-B488-C2C6D4620C18}">
            <x14:dataBar minLength="0" maxLength="100" border="1" negativeBarBorderColorSameAsPositive="0">
              <x14:cfvo type="autoMin"/>
              <x14:cfvo type="autoMax"/>
              <x14:borderColor rgb="FF638EC6"/>
              <x14:negativeFillColor rgb="FFFF0000"/>
              <x14:negativeBorderColor rgb="FFFF0000"/>
              <x14:axisColor rgb="FF000000"/>
            </x14:dataBar>
          </x14:cfRule>
          <xm:sqref>D33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2">
    <tabColor theme="7"/>
  </sheetPr>
  <dimension ref="A1:R54"/>
  <sheetViews>
    <sheetView rightToLeft="1" workbookViewId="0">
      <selection activeCell="F1" sqref="F1"/>
    </sheetView>
  </sheetViews>
  <sheetFormatPr defaultRowHeight="13.2" x14ac:dyDescent="0.25"/>
  <cols>
    <col min="1" max="1" width="11.44140625" bestFit="1" customWidth="1"/>
    <col min="2" max="2" width="14.77734375" bestFit="1" customWidth="1"/>
    <col min="3" max="3" width="9" bestFit="1" customWidth="1"/>
    <col min="4" max="4" width="10.5546875" bestFit="1" customWidth="1"/>
    <col min="5" max="5" width="12.44140625" bestFit="1" customWidth="1"/>
    <col min="6" max="6" width="12" style="1" bestFit="1" customWidth="1"/>
    <col min="10" max="10" width="12.5546875" customWidth="1"/>
    <col min="11" max="15" width="12.44140625" customWidth="1"/>
    <col min="16" max="16" width="12.44140625" bestFit="1" customWidth="1"/>
    <col min="17" max="18" width="12" customWidth="1"/>
  </cols>
  <sheetData>
    <row r="1" spans="1:7" x14ac:dyDescent="0.25">
      <c r="A1" s="11" t="s">
        <v>34</v>
      </c>
      <c r="B1" s="11" t="s">
        <v>2</v>
      </c>
      <c r="C1" s="11" t="s">
        <v>3</v>
      </c>
      <c r="D1" s="11" t="s">
        <v>4</v>
      </c>
      <c r="E1" s="11" t="s">
        <v>28</v>
      </c>
      <c r="F1" s="11" t="s">
        <v>5</v>
      </c>
    </row>
    <row r="2" spans="1:7" x14ac:dyDescent="0.25">
      <c r="A2">
        <v>1</v>
      </c>
      <c r="B2" t="s">
        <v>35</v>
      </c>
      <c r="C2" t="s">
        <v>6</v>
      </c>
      <c r="D2" t="s">
        <v>1</v>
      </c>
      <c r="E2" t="s">
        <v>7</v>
      </c>
      <c r="F2" s="1">
        <v>489</v>
      </c>
      <c r="G2" s="12"/>
    </row>
    <row r="3" spans="1:7" x14ac:dyDescent="0.25">
      <c r="A3">
        <v>2</v>
      </c>
      <c r="B3" t="s">
        <v>36</v>
      </c>
      <c r="C3" t="s">
        <v>8</v>
      </c>
      <c r="D3" t="s">
        <v>9</v>
      </c>
      <c r="E3" t="s">
        <v>10</v>
      </c>
      <c r="F3" s="1">
        <v>1196</v>
      </c>
      <c r="G3" s="12"/>
    </row>
    <row r="4" spans="1:7" x14ac:dyDescent="0.25">
      <c r="A4">
        <v>3</v>
      </c>
      <c r="B4" t="s">
        <v>37</v>
      </c>
      <c r="C4" t="s">
        <v>11</v>
      </c>
      <c r="D4" t="s">
        <v>0</v>
      </c>
      <c r="E4" t="s">
        <v>12</v>
      </c>
      <c r="F4" s="1">
        <v>214</v>
      </c>
      <c r="G4" s="12"/>
    </row>
    <row r="5" spans="1:7" x14ac:dyDescent="0.25">
      <c r="A5">
        <v>4</v>
      </c>
      <c r="B5" t="s">
        <v>38</v>
      </c>
      <c r="C5" t="s">
        <v>8</v>
      </c>
      <c r="D5" t="s">
        <v>13</v>
      </c>
      <c r="E5" t="s">
        <v>14</v>
      </c>
      <c r="F5" s="1">
        <v>266</v>
      </c>
      <c r="G5" s="12"/>
    </row>
    <row r="6" spans="1:7" x14ac:dyDescent="0.25">
      <c r="A6">
        <v>5</v>
      </c>
      <c r="B6" t="s">
        <v>39</v>
      </c>
      <c r="C6" t="s">
        <v>11</v>
      </c>
      <c r="D6" t="s">
        <v>15</v>
      </c>
      <c r="E6" t="s">
        <v>7</v>
      </c>
      <c r="F6" s="1">
        <v>464</v>
      </c>
      <c r="G6" s="12"/>
    </row>
    <row r="7" spans="1:7" x14ac:dyDescent="0.25">
      <c r="A7">
        <v>6</v>
      </c>
      <c r="B7" t="s">
        <v>40</v>
      </c>
      <c r="C7" t="s">
        <v>8</v>
      </c>
      <c r="D7" t="s">
        <v>16</v>
      </c>
      <c r="E7" t="s">
        <v>17</v>
      </c>
      <c r="F7" s="1">
        <v>1018</v>
      </c>
      <c r="G7" s="12"/>
    </row>
    <row r="8" spans="1:7" x14ac:dyDescent="0.25">
      <c r="A8">
        <v>7</v>
      </c>
      <c r="B8" t="s">
        <v>41</v>
      </c>
      <c r="C8" t="s">
        <v>11</v>
      </c>
      <c r="D8" t="s">
        <v>18</v>
      </c>
      <c r="E8" t="s">
        <v>19</v>
      </c>
      <c r="F8" s="1">
        <v>873</v>
      </c>
      <c r="G8" s="12"/>
    </row>
    <row r="9" spans="1:7" x14ac:dyDescent="0.25">
      <c r="A9">
        <v>8</v>
      </c>
      <c r="B9" t="s">
        <v>42</v>
      </c>
      <c r="C9" t="s">
        <v>6</v>
      </c>
      <c r="D9" t="s">
        <v>20</v>
      </c>
      <c r="E9" t="s">
        <v>10</v>
      </c>
      <c r="F9" s="1">
        <v>999</v>
      </c>
      <c r="G9" s="12"/>
    </row>
    <row r="10" spans="1:7" x14ac:dyDescent="0.25">
      <c r="A10">
        <v>9</v>
      </c>
      <c r="B10" t="s">
        <v>43</v>
      </c>
      <c r="C10" t="s">
        <v>8</v>
      </c>
      <c r="D10" t="s">
        <v>21</v>
      </c>
      <c r="E10" t="s">
        <v>14</v>
      </c>
      <c r="F10" s="1">
        <v>219</v>
      </c>
      <c r="G10" s="12"/>
    </row>
    <row r="11" spans="1:7" x14ac:dyDescent="0.25">
      <c r="A11">
        <v>10</v>
      </c>
      <c r="B11" t="s">
        <v>45</v>
      </c>
      <c r="C11" t="s">
        <v>11</v>
      </c>
      <c r="D11" t="s">
        <v>22</v>
      </c>
      <c r="E11" t="s">
        <v>12</v>
      </c>
      <c r="F11" s="1">
        <v>378</v>
      </c>
      <c r="G11" s="12"/>
    </row>
    <row r="12" spans="1:7" x14ac:dyDescent="0.25">
      <c r="A12">
        <v>11</v>
      </c>
      <c r="B12" t="s">
        <v>46</v>
      </c>
      <c r="C12" t="s">
        <v>6</v>
      </c>
      <c r="D12" t="s">
        <v>23</v>
      </c>
      <c r="E12" t="s">
        <v>10</v>
      </c>
      <c r="F12" s="1">
        <v>1036</v>
      </c>
      <c r="G12" s="12"/>
    </row>
    <row r="13" spans="1:7" x14ac:dyDescent="0.25">
      <c r="A13">
        <v>12</v>
      </c>
      <c r="B13" t="s">
        <v>47</v>
      </c>
      <c r="C13" t="s">
        <v>11</v>
      </c>
      <c r="D13" t="s">
        <v>24</v>
      </c>
      <c r="E13" t="s">
        <v>14</v>
      </c>
      <c r="F13" s="1">
        <v>1108</v>
      </c>
      <c r="G13" s="12"/>
    </row>
    <row r="14" spans="1:7" x14ac:dyDescent="0.25">
      <c r="A14">
        <v>13</v>
      </c>
      <c r="B14" t="s">
        <v>48</v>
      </c>
      <c r="C14" t="s">
        <v>6</v>
      </c>
      <c r="D14" t="s">
        <v>1</v>
      </c>
      <c r="E14" t="s">
        <v>7</v>
      </c>
      <c r="F14" s="1">
        <v>1045</v>
      </c>
      <c r="G14" s="12"/>
    </row>
    <row r="15" spans="1:7" x14ac:dyDescent="0.25">
      <c r="A15">
        <v>14</v>
      </c>
      <c r="B15" t="s">
        <v>49</v>
      </c>
      <c r="C15" t="s">
        <v>8</v>
      </c>
      <c r="D15" t="s">
        <v>13</v>
      </c>
      <c r="E15" t="s">
        <v>12</v>
      </c>
      <c r="F15" s="1">
        <v>440</v>
      </c>
      <c r="G15" s="12"/>
    </row>
    <row r="16" spans="1:7" x14ac:dyDescent="0.25">
      <c r="A16">
        <v>15</v>
      </c>
      <c r="B16" t="s">
        <v>50</v>
      </c>
      <c r="C16" t="s">
        <v>6</v>
      </c>
      <c r="D16" t="s">
        <v>20</v>
      </c>
      <c r="E16" t="s">
        <v>7</v>
      </c>
      <c r="F16" s="1">
        <v>437</v>
      </c>
      <c r="G16" s="12"/>
    </row>
    <row r="17" spans="1:18" x14ac:dyDescent="0.25">
      <c r="A17">
        <v>16</v>
      </c>
      <c r="B17" t="s">
        <v>51</v>
      </c>
      <c r="C17" t="s">
        <v>11</v>
      </c>
      <c r="D17" t="s">
        <v>18</v>
      </c>
      <c r="E17" t="s">
        <v>14</v>
      </c>
      <c r="F17" s="1">
        <v>203</v>
      </c>
      <c r="G17" s="12"/>
    </row>
    <row r="18" spans="1:18" x14ac:dyDescent="0.25">
      <c r="A18">
        <v>17</v>
      </c>
      <c r="B18" t="s">
        <v>44</v>
      </c>
      <c r="C18" t="s">
        <v>11</v>
      </c>
      <c r="D18" t="s">
        <v>0</v>
      </c>
      <c r="E18" t="s">
        <v>10</v>
      </c>
      <c r="F18" s="1">
        <v>1144</v>
      </c>
      <c r="G18" s="12"/>
    </row>
    <row r="19" spans="1:18" x14ac:dyDescent="0.25">
      <c r="A19">
        <v>18</v>
      </c>
      <c r="B19" t="s">
        <v>52</v>
      </c>
      <c r="C19" t="s">
        <v>6</v>
      </c>
      <c r="D19" t="s">
        <v>1</v>
      </c>
      <c r="E19" t="s">
        <v>12</v>
      </c>
      <c r="F19" s="1">
        <v>742</v>
      </c>
      <c r="G19" s="12"/>
    </row>
    <row r="20" spans="1:18" x14ac:dyDescent="0.25">
      <c r="A20">
        <v>19</v>
      </c>
      <c r="B20" t="s">
        <v>53</v>
      </c>
      <c r="C20" t="s">
        <v>8</v>
      </c>
      <c r="D20" t="s">
        <v>16</v>
      </c>
      <c r="E20" t="s">
        <v>17</v>
      </c>
      <c r="F20" s="1">
        <v>335</v>
      </c>
      <c r="G20" s="12"/>
      <c r="J20" s="3"/>
      <c r="K20" s="3"/>
      <c r="L20" s="3"/>
      <c r="M20" s="3"/>
      <c r="N20" s="3"/>
      <c r="O20" s="3"/>
      <c r="P20" s="3"/>
      <c r="Q20" s="3"/>
      <c r="R20" s="3"/>
    </row>
    <row r="21" spans="1:18" x14ac:dyDescent="0.25">
      <c r="A21">
        <v>20</v>
      </c>
      <c r="B21" t="s">
        <v>54</v>
      </c>
      <c r="C21" t="s">
        <v>11</v>
      </c>
      <c r="D21" t="s">
        <v>15</v>
      </c>
      <c r="E21" t="s">
        <v>10</v>
      </c>
      <c r="F21" s="1">
        <v>408</v>
      </c>
      <c r="G21" s="12"/>
      <c r="J21" s="3"/>
      <c r="K21" s="3"/>
      <c r="L21" s="3"/>
      <c r="M21" s="3"/>
      <c r="N21" s="3"/>
      <c r="O21" s="3"/>
      <c r="P21" s="3"/>
      <c r="Q21" s="3"/>
      <c r="R21" s="3"/>
    </row>
    <row r="22" spans="1:18" x14ac:dyDescent="0.25">
      <c r="A22">
        <v>21</v>
      </c>
      <c r="B22" t="s">
        <v>55</v>
      </c>
      <c r="C22" t="s">
        <v>6</v>
      </c>
      <c r="D22" t="s">
        <v>23</v>
      </c>
      <c r="E22" t="s">
        <v>14</v>
      </c>
      <c r="F22" s="1">
        <v>219</v>
      </c>
      <c r="G22" s="12"/>
      <c r="J22" s="3"/>
      <c r="K22" s="3"/>
      <c r="L22" s="3"/>
      <c r="M22" s="3"/>
      <c r="N22" s="3"/>
      <c r="O22" s="3"/>
      <c r="P22" s="3"/>
      <c r="Q22" s="3"/>
      <c r="R22" s="3"/>
    </row>
    <row r="23" spans="1:18" x14ac:dyDescent="0.25">
      <c r="A23">
        <v>22</v>
      </c>
      <c r="B23" t="s">
        <v>56</v>
      </c>
      <c r="C23" t="s">
        <v>11</v>
      </c>
      <c r="D23" t="s">
        <v>18</v>
      </c>
      <c r="E23" t="s">
        <v>10</v>
      </c>
      <c r="F23" s="1">
        <v>471</v>
      </c>
      <c r="G23" s="12"/>
      <c r="J23" s="3"/>
      <c r="K23" s="13"/>
      <c r="L23" s="13"/>
      <c r="M23" s="13"/>
      <c r="N23" s="13"/>
      <c r="O23" s="13"/>
      <c r="P23" s="3"/>
      <c r="Q23" s="3"/>
      <c r="R23" s="3"/>
    </row>
    <row r="24" spans="1:18" x14ac:dyDescent="0.25">
      <c r="A24">
        <v>23</v>
      </c>
      <c r="B24" t="s">
        <v>57</v>
      </c>
      <c r="C24" t="s">
        <v>8</v>
      </c>
      <c r="D24" t="s">
        <v>9</v>
      </c>
      <c r="E24" t="s">
        <v>14</v>
      </c>
      <c r="F24" s="1">
        <v>776</v>
      </c>
      <c r="G24" s="12"/>
      <c r="J24" s="3"/>
      <c r="K24" s="13"/>
      <c r="L24" s="13"/>
      <c r="M24" s="13"/>
      <c r="N24" s="13"/>
      <c r="O24" s="13"/>
      <c r="P24" s="3"/>
      <c r="Q24" s="3"/>
      <c r="R24" s="3"/>
    </row>
    <row r="25" spans="1:18" x14ac:dyDescent="0.25">
      <c r="A25">
        <v>24</v>
      </c>
      <c r="B25" t="s">
        <v>58</v>
      </c>
      <c r="C25" t="s">
        <v>8</v>
      </c>
      <c r="D25" t="s">
        <v>13</v>
      </c>
      <c r="E25" t="s">
        <v>7</v>
      </c>
      <c r="F25" s="1">
        <v>805</v>
      </c>
      <c r="G25" s="12"/>
      <c r="J25" s="3"/>
      <c r="K25" s="13"/>
      <c r="L25" s="13"/>
      <c r="M25" s="13"/>
      <c r="N25" s="13"/>
      <c r="O25" s="13"/>
      <c r="P25" s="3"/>
      <c r="Q25" s="3"/>
      <c r="R25" s="3"/>
    </row>
    <row r="26" spans="1:18" x14ac:dyDescent="0.25">
      <c r="A26">
        <v>25</v>
      </c>
      <c r="B26" t="s">
        <v>59</v>
      </c>
      <c r="C26" t="s">
        <v>11</v>
      </c>
      <c r="D26" t="s">
        <v>24</v>
      </c>
      <c r="E26" t="s">
        <v>12</v>
      </c>
      <c r="F26" s="1">
        <v>1020</v>
      </c>
      <c r="G26" s="12"/>
      <c r="J26" s="3"/>
      <c r="K26" s="13"/>
      <c r="L26" s="13"/>
      <c r="M26" s="13"/>
      <c r="N26" s="13"/>
      <c r="O26" s="13"/>
      <c r="P26" s="3"/>
      <c r="Q26" s="3"/>
      <c r="R26" s="3"/>
    </row>
    <row r="27" spans="1:18" x14ac:dyDescent="0.25">
      <c r="A27">
        <v>26</v>
      </c>
      <c r="B27" t="s">
        <v>60</v>
      </c>
      <c r="C27" t="s">
        <v>8</v>
      </c>
      <c r="D27" t="s">
        <v>25</v>
      </c>
      <c r="E27" t="s">
        <v>7</v>
      </c>
      <c r="F27" s="1">
        <v>669</v>
      </c>
      <c r="G27" s="12"/>
      <c r="J27" s="3"/>
      <c r="K27" s="13"/>
      <c r="L27" s="13"/>
      <c r="M27" s="13"/>
      <c r="N27" s="13"/>
      <c r="O27" s="13"/>
      <c r="P27" s="3"/>
      <c r="Q27" s="3"/>
      <c r="R27" s="3"/>
    </row>
    <row r="28" spans="1:18" x14ac:dyDescent="0.25">
      <c r="A28">
        <v>27</v>
      </c>
      <c r="B28" t="s">
        <v>61</v>
      </c>
      <c r="C28" t="s">
        <v>11</v>
      </c>
      <c r="D28" t="s">
        <v>22</v>
      </c>
      <c r="E28" t="s">
        <v>10</v>
      </c>
      <c r="F28" s="1">
        <v>433</v>
      </c>
      <c r="G28" s="12"/>
      <c r="J28" s="3"/>
      <c r="K28" s="13"/>
      <c r="L28" s="13"/>
      <c r="M28" s="13"/>
      <c r="N28" s="13"/>
      <c r="O28" s="13"/>
      <c r="P28" s="3"/>
      <c r="Q28" s="3"/>
      <c r="R28" s="3"/>
    </row>
    <row r="29" spans="1:18" x14ac:dyDescent="0.25">
      <c r="A29">
        <v>28</v>
      </c>
      <c r="B29" t="s">
        <v>62</v>
      </c>
      <c r="C29" t="s">
        <v>8</v>
      </c>
      <c r="D29" t="s">
        <v>21</v>
      </c>
      <c r="E29" t="s">
        <v>17</v>
      </c>
      <c r="F29" s="1">
        <v>880</v>
      </c>
      <c r="G29" s="12"/>
      <c r="J29" s="3"/>
      <c r="K29" s="13"/>
      <c r="L29" s="13"/>
      <c r="M29" s="13"/>
      <c r="N29" s="13"/>
      <c r="O29" s="13"/>
      <c r="P29" s="3"/>
      <c r="Q29" s="3"/>
      <c r="R29" s="3"/>
    </row>
    <row r="30" spans="1:18" x14ac:dyDescent="0.25">
      <c r="A30">
        <v>29</v>
      </c>
      <c r="B30" t="s">
        <v>63</v>
      </c>
      <c r="C30" t="s">
        <v>6</v>
      </c>
      <c r="D30" t="s">
        <v>26</v>
      </c>
      <c r="E30" t="s">
        <v>19</v>
      </c>
      <c r="F30" s="1">
        <v>628</v>
      </c>
      <c r="G30" s="12"/>
      <c r="J30" s="3"/>
      <c r="K30" s="13"/>
      <c r="L30" s="13"/>
      <c r="M30" s="13"/>
      <c r="N30" s="13"/>
      <c r="O30" s="13"/>
      <c r="P30" s="3"/>
      <c r="Q30" s="3"/>
      <c r="R30" s="3"/>
    </row>
    <row r="31" spans="1:18" x14ac:dyDescent="0.25">
      <c r="A31">
        <v>30</v>
      </c>
      <c r="B31" t="s">
        <v>64</v>
      </c>
      <c r="C31" t="s">
        <v>8</v>
      </c>
      <c r="D31" t="s">
        <v>9</v>
      </c>
      <c r="E31" t="s">
        <v>14</v>
      </c>
      <c r="F31" s="1">
        <v>1161</v>
      </c>
      <c r="G31" s="12"/>
      <c r="J31" s="3"/>
      <c r="K31" s="3"/>
      <c r="L31" s="3"/>
      <c r="M31" s="3"/>
      <c r="N31" s="3"/>
      <c r="O31" s="3"/>
      <c r="P31" s="3"/>
      <c r="Q31" s="3"/>
      <c r="R31" s="3"/>
    </row>
    <row r="32" spans="1:18" x14ac:dyDescent="0.25">
      <c r="A32">
        <v>31</v>
      </c>
      <c r="B32" t="s">
        <v>65</v>
      </c>
      <c r="C32" t="s">
        <v>8</v>
      </c>
      <c r="D32" t="s">
        <v>25</v>
      </c>
      <c r="E32" t="s">
        <v>10</v>
      </c>
      <c r="F32" s="1">
        <v>404</v>
      </c>
      <c r="G32" s="12"/>
      <c r="J32" s="3"/>
      <c r="K32" s="3"/>
      <c r="L32" s="3"/>
      <c r="M32" s="3"/>
      <c r="N32" s="3"/>
      <c r="O32" s="3"/>
      <c r="P32" s="3"/>
      <c r="Q32" s="3"/>
      <c r="R32" s="3"/>
    </row>
    <row r="33" spans="1:18" x14ac:dyDescent="0.25">
      <c r="A33">
        <v>32</v>
      </c>
      <c r="B33" t="s">
        <v>66</v>
      </c>
      <c r="C33" t="s">
        <v>6</v>
      </c>
      <c r="D33" t="s">
        <v>1</v>
      </c>
      <c r="E33" t="s">
        <v>19</v>
      </c>
      <c r="F33" s="1">
        <v>531</v>
      </c>
      <c r="G33" s="12"/>
      <c r="J33" s="3"/>
      <c r="K33" s="3"/>
      <c r="L33" s="3"/>
      <c r="M33" s="3"/>
      <c r="N33" s="3"/>
      <c r="O33" s="3"/>
      <c r="P33" s="3"/>
      <c r="Q33" s="3"/>
      <c r="R33" s="3"/>
    </row>
    <row r="34" spans="1:18" x14ac:dyDescent="0.25">
      <c r="A34">
        <v>33</v>
      </c>
      <c r="B34" t="s">
        <v>67</v>
      </c>
      <c r="C34" t="s">
        <v>11</v>
      </c>
      <c r="D34" t="s">
        <v>0</v>
      </c>
      <c r="E34" t="s">
        <v>7</v>
      </c>
      <c r="F34" s="1">
        <v>934</v>
      </c>
      <c r="G34" s="12"/>
      <c r="J34" s="3"/>
      <c r="K34" s="3"/>
      <c r="L34" s="3"/>
      <c r="M34" s="3"/>
      <c r="N34" s="3"/>
      <c r="O34" s="3"/>
      <c r="P34" s="3"/>
      <c r="Q34" s="3"/>
      <c r="R34" s="3"/>
    </row>
    <row r="35" spans="1:18" x14ac:dyDescent="0.25">
      <c r="A35">
        <v>34</v>
      </c>
      <c r="B35" t="s">
        <v>44</v>
      </c>
      <c r="C35" t="s">
        <v>6</v>
      </c>
      <c r="D35" t="s">
        <v>26</v>
      </c>
      <c r="E35" t="s">
        <v>14</v>
      </c>
      <c r="F35" s="1">
        <v>855</v>
      </c>
      <c r="G35" s="12"/>
      <c r="J35" s="3"/>
      <c r="K35" s="3"/>
      <c r="L35" s="3"/>
      <c r="M35" s="3"/>
      <c r="N35" s="3"/>
      <c r="O35" s="3"/>
      <c r="P35" s="3"/>
      <c r="Q35" s="3"/>
      <c r="R35" s="3"/>
    </row>
    <row r="36" spans="1:18" x14ac:dyDescent="0.25">
      <c r="A36">
        <v>35</v>
      </c>
      <c r="B36" t="s">
        <v>68</v>
      </c>
      <c r="C36" t="s">
        <v>11</v>
      </c>
      <c r="D36" t="s">
        <v>15</v>
      </c>
      <c r="E36" t="s">
        <v>10</v>
      </c>
      <c r="F36" s="1">
        <v>902</v>
      </c>
      <c r="G36" s="12"/>
      <c r="J36" s="3"/>
      <c r="K36" s="3"/>
      <c r="L36" s="3"/>
      <c r="M36" s="3"/>
      <c r="N36" s="3"/>
      <c r="O36" s="3"/>
      <c r="P36" s="3"/>
      <c r="Q36" s="3"/>
      <c r="R36" s="3"/>
    </row>
    <row r="37" spans="1:18" x14ac:dyDescent="0.25">
      <c r="A37">
        <v>36</v>
      </c>
      <c r="B37" t="s">
        <v>69</v>
      </c>
      <c r="C37" t="s">
        <v>6</v>
      </c>
      <c r="D37" t="s">
        <v>23</v>
      </c>
      <c r="E37" t="s">
        <v>17</v>
      </c>
      <c r="F37" s="1">
        <v>527</v>
      </c>
      <c r="G37" s="12"/>
      <c r="J37" s="3"/>
      <c r="K37" s="3"/>
      <c r="L37" s="3"/>
      <c r="M37" s="3"/>
      <c r="N37" s="3"/>
      <c r="O37" s="3"/>
      <c r="P37" s="3"/>
      <c r="Q37" s="3"/>
      <c r="R37" s="3"/>
    </row>
    <row r="38" spans="1:18" x14ac:dyDescent="0.25">
      <c r="A38">
        <v>37</v>
      </c>
      <c r="B38" t="s">
        <v>70</v>
      </c>
      <c r="C38" t="s">
        <v>8</v>
      </c>
      <c r="D38" t="s">
        <v>21</v>
      </c>
      <c r="E38" t="s">
        <v>10</v>
      </c>
      <c r="F38" s="1">
        <v>722</v>
      </c>
      <c r="G38" s="12"/>
      <c r="J38" s="3"/>
      <c r="K38" s="13"/>
      <c r="L38" s="13"/>
      <c r="M38" s="13"/>
      <c r="N38" s="13"/>
      <c r="O38" s="13"/>
      <c r="P38" s="13"/>
      <c r="Q38" s="13"/>
      <c r="R38" s="3"/>
    </row>
    <row r="39" spans="1:18" x14ac:dyDescent="0.25">
      <c r="A39">
        <v>38</v>
      </c>
      <c r="B39" t="s">
        <v>71</v>
      </c>
      <c r="C39" t="s">
        <v>11</v>
      </c>
      <c r="D39" t="s">
        <v>24</v>
      </c>
      <c r="E39" t="s">
        <v>19</v>
      </c>
      <c r="F39" s="1">
        <v>916</v>
      </c>
      <c r="G39" s="12"/>
      <c r="J39" s="3"/>
      <c r="K39" s="13"/>
      <c r="L39" s="13"/>
      <c r="M39" s="13"/>
      <c r="N39" s="13"/>
      <c r="O39" s="13"/>
      <c r="P39" s="13"/>
      <c r="Q39" s="13"/>
      <c r="R39" s="3"/>
    </row>
    <row r="40" spans="1:18" x14ac:dyDescent="0.25">
      <c r="A40">
        <v>39</v>
      </c>
      <c r="B40" t="s">
        <v>72</v>
      </c>
      <c r="C40" t="s">
        <v>6</v>
      </c>
      <c r="D40" t="s">
        <v>1</v>
      </c>
      <c r="E40" t="s">
        <v>12</v>
      </c>
      <c r="F40" s="1">
        <v>660</v>
      </c>
      <c r="G40" s="12"/>
      <c r="J40" s="3"/>
      <c r="K40" s="13"/>
      <c r="L40" s="13"/>
      <c r="M40" s="13"/>
      <c r="N40" s="13"/>
      <c r="O40" s="13"/>
      <c r="P40" s="13"/>
      <c r="Q40" s="13"/>
      <c r="R40" s="3"/>
    </row>
    <row r="41" spans="1:18" x14ac:dyDescent="0.25">
      <c r="A41">
        <v>40</v>
      </c>
      <c r="B41" t="s">
        <v>73</v>
      </c>
      <c r="C41" t="s">
        <v>8</v>
      </c>
      <c r="D41" t="s">
        <v>9</v>
      </c>
      <c r="E41" t="s">
        <v>10</v>
      </c>
      <c r="F41" s="1">
        <v>1032</v>
      </c>
      <c r="G41" s="12"/>
      <c r="J41" s="3"/>
      <c r="K41" s="13"/>
      <c r="L41" s="13"/>
      <c r="M41" s="13"/>
      <c r="N41" s="13"/>
      <c r="O41" s="13"/>
      <c r="P41" s="13"/>
      <c r="Q41" s="13"/>
      <c r="R41" s="3"/>
    </row>
    <row r="42" spans="1:18" x14ac:dyDescent="0.25">
      <c r="A42">
        <v>41</v>
      </c>
      <c r="B42" t="s">
        <v>74</v>
      </c>
      <c r="C42" t="s">
        <v>11</v>
      </c>
      <c r="D42" t="s">
        <v>0</v>
      </c>
      <c r="E42" t="s">
        <v>14</v>
      </c>
      <c r="F42" s="1">
        <v>342</v>
      </c>
      <c r="G42" s="12"/>
      <c r="J42" s="3"/>
      <c r="K42" s="13"/>
      <c r="L42" s="13"/>
      <c r="M42" s="13"/>
      <c r="N42" s="13"/>
      <c r="O42" s="13"/>
      <c r="P42" s="13"/>
      <c r="Q42" s="13"/>
      <c r="R42" s="3"/>
    </row>
    <row r="43" spans="1:18" x14ac:dyDescent="0.25">
      <c r="A43">
        <v>42</v>
      </c>
      <c r="B43" t="s">
        <v>75</v>
      </c>
      <c r="C43" t="s">
        <v>8</v>
      </c>
      <c r="D43" t="s">
        <v>13</v>
      </c>
      <c r="E43" t="s">
        <v>12</v>
      </c>
      <c r="F43" s="1">
        <v>1171</v>
      </c>
      <c r="G43" s="12"/>
      <c r="J43" s="3"/>
      <c r="K43" s="13"/>
      <c r="L43" s="13"/>
      <c r="M43" s="13"/>
      <c r="N43" s="13"/>
      <c r="O43" s="13"/>
      <c r="P43" s="13"/>
      <c r="Q43" s="13"/>
      <c r="R43" s="3"/>
    </row>
    <row r="44" spans="1:18" x14ac:dyDescent="0.25">
      <c r="A44">
        <v>43</v>
      </c>
      <c r="B44" t="s">
        <v>76</v>
      </c>
      <c r="C44" t="s">
        <v>8</v>
      </c>
      <c r="D44" t="s">
        <v>21</v>
      </c>
      <c r="E44" t="s">
        <v>7</v>
      </c>
      <c r="F44" s="1">
        <v>544</v>
      </c>
      <c r="G44" s="12"/>
      <c r="J44" s="3"/>
      <c r="K44" s="3"/>
      <c r="L44" s="3"/>
      <c r="M44" s="3"/>
      <c r="N44" s="3"/>
      <c r="O44" s="3"/>
      <c r="P44" s="3"/>
      <c r="Q44" s="3"/>
      <c r="R44" s="3"/>
    </row>
    <row r="45" spans="1:18" x14ac:dyDescent="0.25">
      <c r="A45">
        <v>44</v>
      </c>
      <c r="B45" t="s">
        <v>77</v>
      </c>
      <c r="C45" t="s">
        <v>6</v>
      </c>
      <c r="D45" t="s">
        <v>20</v>
      </c>
      <c r="E45" t="s">
        <v>14</v>
      </c>
      <c r="F45" s="1">
        <v>559</v>
      </c>
      <c r="G45" s="12"/>
      <c r="J45" s="3"/>
      <c r="K45" s="3"/>
      <c r="L45" s="3"/>
      <c r="M45" s="3"/>
      <c r="N45" s="3"/>
      <c r="O45" s="3"/>
      <c r="P45" s="3"/>
      <c r="Q45" s="3"/>
      <c r="R45" s="3"/>
    </row>
    <row r="46" spans="1:18" x14ac:dyDescent="0.25">
      <c r="A46">
        <v>45</v>
      </c>
      <c r="B46" t="s">
        <v>78</v>
      </c>
      <c r="C46" t="s">
        <v>11</v>
      </c>
      <c r="D46" t="s">
        <v>15</v>
      </c>
      <c r="E46" t="s">
        <v>10</v>
      </c>
      <c r="F46" s="1">
        <v>747</v>
      </c>
      <c r="G46" s="12"/>
      <c r="J46" s="3"/>
      <c r="K46" s="3"/>
      <c r="L46" s="3"/>
      <c r="M46" s="3"/>
      <c r="N46" s="3"/>
      <c r="O46" s="3"/>
      <c r="P46" s="3"/>
      <c r="Q46" s="3"/>
      <c r="R46" s="3"/>
    </row>
    <row r="47" spans="1:18" x14ac:dyDescent="0.25">
      <c r="A47">
        <v>46</v>
      </c>
      <c r="B47" t="s">
        <v>79</v>
      </c>
      <c r="C47" t="s">
        <v>6</v>
      </c>
      <c r="D47" t="s">
        <v>27</v>
      </c>
      <c r="E47" t="s">
        <v>7</v>
      </c>
      <c r="F47" s="1">
        <v>961</v>
      </c>
      <c r="G47" s="12"/>
    </row>
    <row r="48" spans="1:18" x14ac:dyDescent="0.25">
      <c r="A48">
        <v>47</v>
      </c>
      <c r="B48" t="s">
        <v>80</v>
      </c>
      <c r="C48" t="s">
        <v>6</v>
      </c>
      <c r="D48" t="s">
        <v>1</v>
      </c>
      <c r="E48" t="s">
        <v>17</v>
      </c>
      <c r="F48" s="1">
        <v>467</v>
      </c>
      <c r="G48" s="12"/>
    </row>
    <row r="49" spans="1:7" x14ac:dyDescent="0.25">
      <c r="A49">
        <v>48</v>
      </c>
      <c r="B49" t="s">
        <v>81</v>
      </c>
      <c r="C49" t="s">
        <v>11</v>
      </c>
      <c r="D49" t="s">
        <v>18</v>
      </c>
      <c r="E49" t="s">
        <v>10</v>
      </c>
      <c r="F49" s="1">
        <v>650</v>
      </c>
      <c r="G49" s="12"/>
    </row>
    <row r="50" spans="1:7" x14ac:dyDescent="0.25">
      <c r="A50">
        <v>49</v>
      </c>
      <c r="B50" t="s">
        <v>82</v>
      </c>
      <c r="C50" t="s">
        <v>6</v>
      </c>
      <c r="D50" t="s">
        <v>23</v>
      </c>
      <c r="E50" t="s">
        <v>14</v>
      </c>
      <c r="F50" s="1">
        <v>441</v>
      </c>
      <c r="G50" s="12"/>
    </row>
    <row r="51" spans="1:7" x14ac:dyDescent="0.25">
      <c r="A51">
        <v>50</v>
      </c>
      <c r="B51" t="s">
        <v>83</v>
      </c>
      <c r="C51" t="s">
        <v>8</v>
      </c>
      <c r="D51" t="s">
        <v>13</v>
      </c>
      <c r="E51" t="s">
        <v>7</v>
      </c>
      <c r="F51" s="1">
        <v>219</v>
      </c>
      <c r="G51" s="12"/>
    </row>
    <row r="52" spans="1:7" x14ac:dyDescent="0.25">
      <c r="A52">
        <v>51</v>
      </c>
      <c r="B52" t="s">
        <v>84</v>
      </c>
      <c r="C52" t="s">
        <v>8</v>
      </c>
      <c r="D52" t="s">
        <v>9</v>
      </c>
      <c r="E52" t="s">
        <v>12</v>
      </c>
      <c r="F52" s="1">
        <v>1053</v>
      </c>
      <c r="G52" s="12"/>
    </row>
    <row r="53" spans="1:7" x14ac:dyDescent="0.25">
      <c r="A53">
        <v>52</v>
      </c>
      <c r="B53" t="s">
        <v>85</v>
      </c>
      <c r="C53" t="s">
        <v>11</v>
      </c>
      <c r="D53" t="s">
        <v>0</v>
      </c>
      <c r="E53" t="s">
        <v>12</v>
      </c>
      <c r="F53" s="1">
        <v>639</v>
      </c>
      <c r="G53" s="12"/>
    </row>
    <row r="54" spans="1:7" x14ac:dyDescent="0.25">
      <c r="A54">
        <v>53</v>
      </c>
      <c r="B54" t="s">
        <v>86</v>
      </c>
      <c r="C54" t="s">
        <v>6</v>
      </c>
      <c r="D54" t="s">
        <v>27</v>
      </c>
      <c r="E54" t="s">
        <v>17</v>
      </c>
      <c r="F54" s="1">
        <v>396</v>
      </c>
      <c r="G54" s="12"/>
    </row>
  </sheetData>
  <phoneticPr fontId="3"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23">
    <tabColor theme="7"/>
  </sheetPr>
  <dimension ref="A1:U80"/>
  <sheetViews>
    <sheetView rightToLeft="1" topLeftCell="A17" zoomScaleNormal="100" workbookViewId="0">
      <selection activeCell="A58" sqref="A58"/>
    </sheetView>
  </sheetViews>
  <sheetFormatPr defaultRowHeight="13.2" x14ac:dyDescent="0.25"/>
  <cols>
    <col min="1" max="1" width="15.109375" bestFit="1" customWidth="1"/>
    <col min="2" max="2" width="12.77734375" bestFit="1" customWidth="1"/>
    <col min="3" max="3" width="4.88671875" bestFit="1" customWidth="1"/>
    <col min="4" max="4" width="4" bestFit="1" customWidth="1"/>
    <col min="5" max="5" width="8.21875" bestFit="1" customWidth="1"/>
    <col min="6" max="6" width="12.88671875" bestFit="1" customWidth="1"/>
    <col min="7" max="7" width="5.88671875" bestFit="1" customWidth="1"/>
    <col min="8" max="8" width="8.21875" bestFit="1" customWidth="1"/>
    <col min="9" max="9" width="8.77734375" bestFit="1" customWidth="1"/>
    <col min="10" max="10" width="13.77734375" bestFit="1" customWidth="1"/>
    <col min="11" max="11" width="5" bestFit="1" customWidth="1"/>
    <col min="12" max="12" width="20" bestFit="1" customWidth="1"/>
    <col min="13" max="13" width="12.77734375" bestFit="1" customWidth="1"/>
    <col min="14" max="14" width="4.88671875" bestFit="1" customWidth="1"/>
    <col min="15" max="15" width="4" bestFit="1" customWidth="1"/>
    <col min="16" max="16" width="8.21875" bestFit="1" customWidth="1"/>
    <col min="17" max="17" width="14.77734375" bestFit="1" customWidth="1"/>
    <col min="18" max="18" width="5" bestFit="1" customWidth="1"/>
    <col min="19" max="19" width="18.33203125" bestFit="1" customWidth="1"/>
    <col min="20" max="20" width="7.77734375" bestFit="1" customWidth="1"/>
    <col min="21" max="22" width="5" bestFit="1" customWidth="1"/>
    <col min="23" max="23" width="10.44140625" bestFit="1" customWidth="1"/>
    <col min="24" max="24" width="8.5546875" bestFit="1" customWidth="1"/>
    <col min="25" max="26" width="15.44140625" bestFit="1" customWidth="1"/>
    <col min="27" max="27" width="8.5546875" bestFit="1" customWidth="1"/>
  </cols>
  <sheetData>
    <row r="1" spans="1:21" x14ac:dyDescent="0.25">
      <c r="A1" s="14" t="s">
        <v>29</v>
      </c>
      <c r="B1" s="4"/>
      <c r="C1" s="4"/>
      <c r="D1" s="4"/>
      <c r="E1" s="4"/>
      <c r="F1" s="4"/>
      <c r="G1" s="4"/>
      <c r="H1" s="4"/>
      <c r="I1" s="4"/>
      <c r="J1" s="5"/>
      <c r="L1" s="14" t="s">
        <v>30</v>
      </c>
      <c r="M1" s="4"/>
      <c r="N1" s="4"/>
      <c r="O1" s="32"/>
      <c r="P1" s="4"/>
      <c r="Q1" s="4"/>
      <c r="R1" s="4"/>
      <c r="S1" s="4"/>
      <c r="T1" s="4"/>
      <c r="U1" s="5"/>
    </row>
    <row r="2" spans="1:21" x14ac:dyDescent="0.25">
      <c r="A2" s="26" t="s">
        <v>148</v>
      </c>
      <c r="B2" s="26" t="s">
        <v>145</v>
      </c>
      <c r="I2" s="3"/>
      <c r="J2" s="7"/>
      <c r="L2" s="26" t="s">
        <v>146</v>
      </c>
      <c r="M2" s="26" t="s">
        <v>145</v>
      </c>
    </row>
    <row r="3" spans="1:21" x14ac:dyDescent="0.25">
      <c r="A3" s="26" t="s">
        <v>143</v>
      </c>
      <c r="B3" t="s">
        <v>12</v>
      </c>
      <c r="C3" t="s">
        <v>10</v>
      </c>
      <c r="D3" t="s">
        <v>19</v>
      </c>
      <c r="E3" t="s">
        <v>14</v>
      </c>
      <c r="F3" t="s">
        <v>17</v>
      </c>
      <c r="G3" t="s">
        <v>7</v>
      </c>
      <c r="H3" t="s">
        <v>144</v>
      </c>
      <c r="I3" s="3"/>
      <c r="J3" s="7"/>
      <c r="L3" s="26" t="s">
        <v>143</v>
      </c>
      <c r="M3" t="s">
        <v>12</v>
      </c>
      <c r="N3" t="s">
        <v>10</v>
      </c>
      <c r="O3" t="s">
        <v>19</v>
      </c>
      <c r="P3" t="s">
        <v>14</v>
      </c>
      <c r="Q3" t="s">
        <v>17</v>
      </c>
      <c r="R3" t="s">
        <v>7</v>
      </c>
      <c r="S3" t="s">
        <v>144</v>
      </c>
    </row>
    <row r="4" spans="1:21" x14ac:dyDescent="0.25">
      <c r="A4" s="19" t="s">
        <v>6</v>
      </c>
      <c r="B4" s="21">
        <v>701</v>
      </c>
      <c r="C4" s="21">
        <v>1017.5</v>
      </c>
      <c r="D4" s="21">
        <v>579.5</v>
      </c>
      <c r="E4" s="21">
        <v>518.5</v>
      </c>
      <c r="F4" s="21">
        <v>463.33333333333331</v>
      </c>
      <c r="G4" s="21">
        <v>733</v>
      </c>
      <c r="H4" s="21">
        <v>646.58823529411768</v>
      </c>
      <c r="I4" s="13"/>
      <c r="J4" s="7"/>
      <c r="L4" s="19" t="s">
        <v>26</v>
      </c>
      <c r="M4" s="21"/>
      <c r="N4" s="21"/>
      <c r="O4" s="21">
        <v>628</v>
      </c>
      <c r="P4" s="21">
        <v>855</v>
      </c>
      <c r="Q4" s="21"/>
      <c r="R4" s="21"/>
      <c r="S4" s="21">
        <v>1483</v>
      </c>
      <c r="T4" s="3"/>
      <c r="U4" s="7"/>
    </row>
    <row r="5" spans="1:21" x14ac:dyDescent="0.25">
      <c r="A5" s="19" t="s">
        <v>8</v>
      </c>
      <c r="B5" s="21">
        <v>888</v>
      </c>
      <c r="C5" s="21">
        <v>838.5</v>
      </c>
      <c r="D5" s="21"/>
      <c r="E5" s="21">
        <v>605.5</v>
      </c>
      <c r="F5" s="21">
        <v>744.33333333333337</v>
      </c>
      <c r="G5" s="21">
        <v>559.25</v>
      </c>
      <c r="H5" s="21">
        <v>717.22222222222217</v>
      </c>
      <c r="I5" s="13"/>
      <c r="J5" s="33"/>
      <c r="L5" s="19" t="s">
        <v>1</v>
      </c>
      <c r="M5" s="21">
        <v>1402</v>
      </c>
      <c r="N5" s="21"/>
      <c r="O5" s="21">
        <v>531</v>
      </c>
      <c r="P5" s="21"/>
      <c r="Q5" s="21">
        <v>467</v>
      </c>
      <c r="R5" s="21">
        <v>1534</v>
      </c>
      <c r="S5" s="21">
        <v>3934</v>
      </c>
      <c r="T5" s="13"/>
      <c r="U5" s="33"/>
    </row>
    <row r="6" spans="1:21" x14ac:dyDescent="0.25">
      <c r="A6" s="19" t="s">
        <v>11</v>
      </c>
      <c r="B6" s="21">
        <v>562.75</v>
      </c>
      <c r="C6" s="21">
        <v>679.28571428571433</v>
      </c>
      <c r="D6" s="21">
        <v>894.5</v>
      </c>
      <c r="E6" s="21">
        <v>551</v>
      </c>
      <c r="F6" s="21"/>
      <c r="G6" s="21">
        <v>699</v>
      </c>
      <c r="H6" s="21">
        <v>658.11111111111109</v>
      </c>
      <c r="I6" s="13"/>
      <c r="J6" s="33"/>
      <c r="L6" s="19" t="s">
        <v>27</v>
      </c>
      <c r="M6" s="21"/>
      <c r="N6" s="21"/>
      <c r="O6" s="21"/>
      <c r="P6" s="21"/>
      <c r="Q6" s="21">
        <v>396</v>
      </c>
      <c r="R6" s="21">
        <v>961</v>
      </c>
      <c r="S6" s="21">
        <v>1357</v>
      </c>
      <c r="T6" s="13"/>
      <c r="U6" s="33"/>
    </row>
    <row r="7" spans="1:21" x14ac:dyDescent="0.25">
      <c r="A7" s="19" t="s">
        <v>144</v>
      </c>
      <c r="B7" s="21">
        <v>701.88888888888891</v>
      </c>
      <c r="C7" s="21">
        <v>780.30769230769226</v>
      </c>
      <c r="D7" s="21">
        <v>737</v>
      </c>
      <c r="E7" s="21">
        <v>559</v>
      </c>
      <c r="F7" s="21">
        <v>603.83333333333337</v>
      </c>
      <c r="G7" s="21">
        <v>656.7</v>
      </c>
      <c r="H7" s="21">
        <v>674.4905660377359</v>
      </c>
      <c r="I7" s="13"/>
      <c r="J7" s="33"/>
      <c r="L7" s="19" t="s">
        <v>16</v>
      </c>
      <c r="M7" s="21"/>
      <c r="N7" s="21"/>
      <c r="O7" s="21"/>
      <c r="P7" s="21"/>
      <c r="Q7" s="21">
        <v>1353</v>
      </c>
      <c r="R7" s="21"/>
      <c r="S7" s="21">
        <v>1353</v>
      </c>
      <c r="T7" s="13"/>
      <c r="U7" s="33"/>
    </row>
    <row r="8" spans="1:21" x14ac:dyDescent="0.25">
      <c r="F8" s="13"/>
      <c r="G8" s="13"/>
      <c r="H8" s="13"/>
      <c r="I8" s="13"/>
      <c r="J8" s="33"/>
      <c r="L8" s="19" t="s">
        <v>25</v>
      </c>
      <c r="M8" s="21"/>
      <c r="N8" s="21">
        <v>404</v>
      </c>
      <c r="O8" s="21"/>
      <c r="P8" s="21"/>
      <c r="Q8" s="21"/>
      <c r="R8" s="21">
        <v>669</v>
      </c>
      <c r="S8" s="21">
        <v>1073</v>
      </c>
      <c r="T8" s="13"/>
      <c r="U8" s="33"/>
    </row>
    <row r="9" spans="1:21" x14ac:dyDescent="0.25">
      <c r="F9" s="13"/>
      <c r="G9" s="13"/>
      <c r="H9" s="13"/>
      <c r="I9" s="13"/>
      <c r="J9" s="33"/>
      <c r="L9" s="19" t="s">
        <v>0</v>
      </c>
      <c r="M9" s="21">
        <v>853</v>
      </c>
      <c r="N9" s="21">
        <v>1144</v>
      </c>
      <c r="O9" s="21"/>
      <c r="P9" s="21">
        <v>342</v>
      </c>
      <c r="Q9" s="21"/>
      <c r="R9" s="21">
        <v>934</v>
      </c>
      <c r="S9" s="21">
        <v>3273</v>
      </c>
      <c r="T9" s="13"/>
      <c r="U9" s="33"/>
    </row>
    <row r="10" spans="1:21" x14ac:dyDescent="0.25">
      <c r="F10" s="3"/>
      <c r="G10" s="3"/>
      <c r="H10" s="3"/>
      <c r="I10" s="3"/>
      <c r="J10" s="7"/>
      <c r="L10" s="19" t="s">
        <v>24</v>
      </c>
      <c r="M10" s="21">
        <v>1020</v>
      </c>
      <c r="N10" s="21"/>
      <c r="O10" s="21">
        <v>916</v>
      </c>
      <c r="P10" s="21">
        <v>1108</v>
      </c>
      <c r="Q10" s="21"/>
      <c r="R10" s="21"/>
      <c r="S10" s="21">
        <v>3044</v>
      </c>
      <c r="T10" s="13"/>
      <c r="U10" s="33"/>
    </row>
    <row r="11" spans="1:21" x14ac:dyDescent="0.25">
      <c r="D11" s="3"/>
      <c r="E11" s="3"/>
      <c r="F11" s="3"/>
      <c r="G11" s="3"/>
      <c r="H11" s="3"/>
      <c r="I11" s="3"/>
      <c r="J11" s="7"/>
      <c r="L11" s="19" t="s">
        <v>22</v>
      </c>
      <c r="M11" s="21">
        <v>378</v>
      </c>
      <c r="N11" s="21">
        <v>433</v>
      </c>
      <c r="O11" s="21"/>
      <c r="P11" s="21"/>
      <c r="Q11" s="21"/>
      <c r="R11" s="21"/>
      <c r="S11" s="21">
        <v>811</v>
      </c>
      <c r="T11" s="3"/>
      <c r="U11" s="7"/>
    </row>
    <row r="12" spans="1:21" x14ac:dyDescent="0.25">
      <c r="D12" s="3"/>
      <c r="E12" s="3"/>
      <c r="F12" s="3"/>
      <c r="G12" s="3"/>
      <c r="H12" s="3"/>
      <c r="I12" s="3"/>
      <c r="J12" s="7"/>
      <c r="L12" s="19" t="s">
        <v>21</v>
      </c>
      <c r="M12" s="21"/>
      <c r="N12" s="21">
        <v>722</v>
      </c>
      <c r="O12" s="21"/>
      <c r="P12" s="21">
        <v>219</v>
      </c>
      <c r="Q12" s="21">
        <v>880</v>
      </c>
      <c r="R12" s="21">
        <v>544</v>
      </c>
      <c r="S12" s="21">
        <v>2365</v>
      </c>
      <c r="T12" s="3"/>
      <c r="U12" s="7"/>
    </row>
    <row r="13" spans="1:21" x14ac:dyDescent="0.25">
      <c r="D13" s="3"/>
      <c r="E13" s="3"/>
      <c r="F13" s="3"/>
      <c r="G13" s="3"/>
      <c r="H13" s="3"/>
      <c r="I13" s="3"/>
      <c r="J13" s="7"/>
      <c r="L13" s="19" t="s">
        <v>23</v>
      </c>
      <c r="M13" s="21"/>
      <c r="N13" s="21">
        <v>1036</v>
      </c>
      <c r="O13" s="21"/>
      <c r="P13" s="21">
        <v>660</v>
      </c>
      <c r="Q13" s="21">
        <v>527</v>
      </c>
      <c r="R13" s="21"/>
      <c r="S13" s="21">
        <v>2223</v>
      </c>
      <c r="T13" s="3"/>
      <c r="U13" s="7"/>
    </row>
    <row r="14" spans="1:21" x14ac:dyDescent="0.25">
      <c r="D14" s="3"/>
      <c r="E14" s="3"/>
      <c r="F14" s="3"/>
      <c r="G14" s="3"/>
      <c r="H14" s="3"/>
      <c r="I14" s="3"/>
      <c r="J14" s="7"/>
      <c r="L14" s="19" t="s">
        <v>13</v>
      </c>
      <c r="M14" s="21">
        <v>1611</v>
      </c>
      <c r="N14" s="21"/>
      <c r="O14" s="21"/>
      <c r="P14" s="21">
        <v>266</v>
      </c>
      <c r="Q14" s="21"/>
      <c r="R14" s="21">
        <v>1024</v>
      </c>
      <c r="S14" s="21">
        <v>2901</v>
      </c>
      <c r="T14" s="3"/>
      <c r="U14" s="7"/>
    </row>
    <row r="15" spans="1:21" x14ac:dyDescent="0.25">
      <c r="D15" s="3"/>
      <c r="E15" s="3"/>
      <c r="F15" s="3"/>
      <c r="G15" s="3"/>
      <c r="H15" s="3"/>
      <c r="I15" s="3"/>
      <c r="J15" s="7"/>
      <c r="L15" s="19" t="s">
        <v>15</v>
      </c>
      <c r="M15" s="21"/>
      <c r="N15" s="21">
        <v>2057</v>
      </c>
      <c r="O15" s="21"/>
      <c r="P15" s="21"/>
      <c r="Q15" s="21"/>
      <c r="R15" s="21">
        <v>464</v>
      </c>
      <c r="S15" s="21">
        <v>2521</v>
      </c>
      <c r="T15" s="3"/>
      <c r="U15" s="7"/>
    </row>
    <row r="16" spans="1:21" x14ac:dyDescent="0.25">
      <c r="D16" s="3"/>
      <c r="E16" s="3"/>
      <c r="F16" s="3"/>
      <c r="G16" s="3"/>
      <c r="H16" s="3"/>
      <c r="I16" s="3"/>
      <c r="J16" s="7"/>
      <c r="L16" s="19" t="s">
        <v>18</v>
      </c>
      <c r="M16" s="21"/>
      <c r="N16" s="21">
        <v>1121</v>
      </c>
      <c r="O16" s="21">
        <v>873</v>
      </c>
      <c r="P16" s="21">
        <v>203</v>
      </c>
      <c r="Q16" s="21"/>
      <c r="R16" s="21"/>
      <c r="S16" s="21">
        <v>2197</v>
      </c>
      <c r="T16" s="3"/>
      <c r="U16" s="7"/>
    </row>
    <row r="17" spans="1:21" x14ac:dyDescent="0.25">
      <c r="D17" s="3"/>
      <c r="E17" s="3"/>
      <c r="F17" s="3"/>
      <c r="G17" s="3"/>
      <c r="H17" s="3"/>
      <c r="I17" s="3"/>
      <c r="J17" s="7"/>
      <c r="L17" s="19" t="s">
        <v>20</v>
      </c>
      <c r="M17" s="21"/>
      <c r="N17" s="21">
        <v>999</v>
      </c>
      <c r="O17" s="21"/>
      <c r="P17" s="21">
        <v>559</v>
      </c>
      <c r="Q17" s="21"/>
      <c r="R17" s="21">
        <v>437</v>
      </c>
      <c r="S17" s="21">
        <v>1995</v>
      </c>
      <c r="T17" s="3"/>
      <c r="U17" s="7"/>
    </row>
    <row r="18" spans="1:21" x14ac:dyDescent="0.25">
      <c r="D18" s="3"/>
      <c r="E18" s="3"/>
      <c r="F18" s="3"/>
      <c r="G18" s="3"/>
      <c r="H18" s="3"/>
      <c r="I18" s="3"/>
      <c r="J18" s="7"/>
      <c r="L18" s="19" t="s">
        <v>9</v>
      </c>
      <c r="M18" s="21">
        <v>1053</v>
      </c>
      <c r="N18" s="21">
        <v>2228</v>
      </c>
      <c r="O18" s="21"/>
      <c r="P18" s="21">
        <v>1937</v>
      </c>
      <c r="Q18" s="21"/>
      <c r="R18" s="21"/>
      <c r="S18" s="21">
        <v>5218</v>
      </c>
      <c r="T18" s="3"/>
      <c r="U18" s="7"/>
    </row>
    <row r="19" spans="1:21" x14ac:dyDescent="0.25">
      <c r="D19" s="3"/>
      <c r="E19" s="3"/>
      <c r="F19" s="3"/>
      <c r="G19" s="3"/>
      <c r="H19" s="3"/>
      <c r="I19" s="3"/>
      <c r="J19" s="7"/>
      <c r="L19" s="19" t="s">
        <v>144</v>
      </c>
      <c r="M19" s="21">
        <v>6317</v>
      </c>
      <c r="N19" s="21">
        <v>10144</v>
      </c>
      <c r="O19" s="21">
        <v>2948</v>
      </c>
      <c r="P19" s="21">
        <v>6149</v>
      </c>
      <c r="Q19" s="21">
        <v>3623</v>
      </c>
      <c r="R19" s="21">
        <v>6567</v>
      </c>
      <c r="S19" s="21">
        <v>35748</v>
      </c>
      <c r="T19" s="3"/>
      <c r="U19" s="7"/>
    </row>
    <row r="20" spans="1:21" x14ac:dyDescent="0.25">
      <c r="C20" s="3"/>
      <c r="D20" s="3"/>
      <c r="E20" s="3"/>
      <c r="F20" s="3"/>
      <c r="G20" s="3"/>
      <c r="H20" s="3"/>
      <c r="I20" s="3"/>
      <c r="J20" s="7"/>
      <c r="L20" s="6"/>
      <c r="M20" s="3"/>
      <c r="N20" s="3"/>
      <c r="O20" s="3"/>
      <c r="P20" s="3"/>
      <c r="Q20" s="3"/>
      <c r="R20" s="3"/>
      <c r="S20" s="3"/>
      <c r="T20" s="3"/>
      <c r="U20" s="7"/>
    </row>
    <row r="21" spans="1:21" x14ac:dyDescent="0.25">
      <c r="C21" s="3"/>
      <c r="D21" s="3"/>
      <c r="E21" s="3"/>
      <c r="F21" s="3"/>
      <c r="G21" s="3"/>
      <c r="H21" s="3"/>
      <c r="I21" s="3"/>
      <c r="J21" s="7"/>
      <c r="L21" s="6"/>
      <c r="M21" s="3"/>
      <c r="N21" s="3"/>
      <c r="O21" s="3"/>
      <c r="P21" s="3"/>
      <c r="Q21" s="3"/>
      <c r="R21" s="3"/>
      <c r="S21" s="3"/>
      <c r="T21" s="3"/>
      <c r="U21" s="7"/>
    </row>
    <row r="22" spans="1:21" x14ac:dyDescent="0.25">
      <c r="C22" s="3"/>
      <c r="D22" s="3"/>
      <c r="E22" s="3"/>
      <c r="F22" s="3"/>
      <c r="G22" s="3"/>
      <c r="H22" s="3"/>
      <c r="I22" s="3"/>
      <c r="J22" s="7"/>
      <c r="L22" s="6"/>
      <c r="M22" s="3"/>
      <c r="N22" s="3"/>
      <c r="O22" s="3"/>
      <c r="P22" s="3"/>
      <c r="Q22" s="3"/>
      <c r="R22" s="3"/>
      <c r="S22" s="3"/>
      <c r="T22" s="3"/>
      <c r="U22" s="7"/>
    </row>
    <row r="23" spans="1:21" x14ac:dyDescent="0.25">
      <c r="C23" s="3"/>
      <c r="D23" s="3"/>
      <c r="E23" s="3"/>
      <c r="F23" s="3"/>
      <c r="G23" s="3"/>
      <c r="H23" s="3"/>
      <c r="I23" s="3"/>
      <c r="J23" s="7"/>
      <c r="L23" s="6"/>
      <c r="M23" s="3"/>
      <c r="N23" s="3"/>
      <c r="O23" s="3"/>
      <c r="P23" s="3"/>
      <c r="Q23" s="3"/>
      <c r="R23" s="3"/>
      <c r="S23" s="3"/>
      <c r="T23" s="3"/>
      <c r="U23" s="7"/>
    </row>
    <row r="24" spans="1:21" x14ac:dyDescent="0.25">
      <c r="C24" s="3"/>
      <c r="D24" s="3"/>
      <c r="E24" s="3"/>
      <c r="F24" s="3"/>
      <c r="G24" s="3"/>
      <c r="H24" s="3"/>
      <c r="I24" s="3"/>
      <c r="J24" s="7"/>
      <c r="L24" s="6"/>
      <c r="M24" s="3"/>
      <c r="N24" s="3"/>
      <c r="O24" s="3"/>
      <c r="P24" s="3"/>
      <c r="Q24" s="3"/>
      <c r="R24" s="3"/>
      <c r="S24" s="3"/>
      <c r="T24" s="3"/>
      <c r="U24" s="7"/>
    </row>
    <row r="25" spans="1:21" x14ac:dyDescent="0.25">
      <c r="C25" s="3"/>
      <c r="D25" s="3"/>
      <c r="E25" s="3"/>
      <c r="F25" s="3"/>
      <c r="G25" s="3"/>
      <c r="H25" s="3"/>
      <c r="I25" s="3"/>
      <c r="J25" s="7"/>
      <c r="L25" s="6"/>
      <c r="M25" s="3"/>
      <c r="N25" s="3"/>
      <c r="O25" s="3"/>
      <c r="P25" s="3"/>
      <c r="Q25" s="3"/>
      <c r="R25" s="3"/>
      <c r="S25" s="3"/>
      <c r="T25" s="3"/>
      <c r="U25" s="7"/>
    </row>
    <row r="26" spans="1:21" ht="13.8" thickBot="1" x14ac:dyDescent="0.3">
      <c r="A26" s="8"/>
      <c r="B26" s="9"/>
      <c r="C26" s="9"/>
      <c r="D26" s="9"/>
      <c r="E26" s="9"/>
      <c r="F26" s="9"/>
      <c r="G26" s="9"/>
      <c r="H26" s="9"/>
      <c r="I26" s="9"/>
      <c r="J26" s="10"/>
      <c r="L26" s="8"/>
      <c r="M26" s="9"/>
      <c r="N26" s="9"/>
      <c r="O26" s="9"/>
      <c r="P26" s="9"/>
      <c r="Q26" s="9"/>
      <c r="R26" s="9"/>
      <c r="S26" s="9"/>
      <c r="T26" s="9"/>
      <c r="U26" s="10"/>
    </row>
    <row r="27" spans="1:21" ht="13.8" thickBot="1" x14ac:dyDescent="0.3">
      <c r="A27" s="26" t="s">
        <v>3</v>
      </c>
      <c r="B27" s="19" t="s">
        <v>6</v>
      </c>
    </row>
    <row r="28" spans="1:21" x14ac:dyDescent="0.25">
      <c r="A28" s="14" t="s">
        <v>31</v>
      </c>
      <c r="B28" s="4"/>
      <c r="C28" s="4"/>
      <c r="D28" s="4"/>
      <c r="E28" s="4"/>
      <c r="F28" s="4"/>
      <c r="G28" s="4"/>
      <c r="H28" s="4"/>
      <c r="I28" s="4"/>
      <c r="J28" s="5"/>
      <c r="L28" s="14" t="s">
        <v>32</v>
      </c>
      <c r="M28" s="4"/>
      <c r="N28" s="4"/>
      <c r="O28" s="4"/>
      <c r="P28" s="4"/>
      <c r="Q28" s="4"/>
      <c r="R28" s="4"/>
      <c r="S28" s="4"/>
      <c r="T28" s="4"/>
      <c r="U28" s="5"/>
    </row>
    <row r="29" spans="1:21" x14ac:dyDescent="0.25">
      <c r="A29" s="26" t="s">
        <v>146</v>
      </c>
      <c r="B29" s="26" t="s">
        <v>145</v>
      </c>
      <c r="L29" s="26" t="s">
        <v>149</v>
      </c>
      <c r="M29" s="26" t="s">
        <v>145</v>
      </c>
    </row>
    <row r="30" spans="1:21" x14ac:dyDescent="0.25">
      <c r="A30" s="26" t="s">
        <v>143</v>
      </c>
      <c r="B30" t="s">
        <v>12</v>
      </c>
      <c r="C30" t="s">
        <v>10</v>
      </c>
      <c r="D30" t="s">
        <v>19</v>
      </c>
      <c r="E30" t="s">
        <v>14</v>
      </c>
      <c r="F30" t="s">
        <v>17</v>
      </c>
      <c r="G30" t="s">
        <v>7</v>
      </c>
      <c r="H30" t="s">
        <v>144</v>
      </c>
      <c r="L30" s="26" t="s">
        <v>143</v>
      </c>
      <c r="M30" t="s">
        <v>6</v>
      </c>
      <c r="N30" t="s">
        <v>8</v>
      </c>
      <c r="O30" t="s">
        <v>11</v>
      </c>
      <c r="P30" t="s">
        <v>144</v>
      </c>
    </row>
    <row r="31" spans="1:21" x14ac:dyDescent="0.25">
      <c r="A31" s="19" t="s">
        <v>26</v>
      </c>
      <c r="B31" s="21"/>
      <c r="C31" s="21"/>
      <c r="D31" s="21">
        <v>628</v>
      </c>
      <c r="E31" s="21">
        <v>855</v>
      </c>
      <c r="F31" s="21"/>
      <c r="G31" s="21"/>
      <c r="H31" s="21">
        <v>1483</v>
      </c>
      <c r="L31" s="19" t="s">
        <v>12</v>
      </c>
      <c r="M31" s="21">
        <v>2</v>
      </c>
      <c r="N31" s="21">
        <v>3</v>
      </c>
      <c r="O31" s="21">
        <v>4</v>
      </c>
      <c r="P31" s="21">
        <v>9</v>
      </c>
    </row>
    <row r="32" spans="1:21" x14ac:dyDescent="0.25">
      <c r="A32" s="19" t="s">
        <v>1</v>
      </c>
      <c r="B32" s="21">
        <v>1402</v>
      </c>
      <c r="C32" s="21"/>
      <c r="D32" s="21">
        <v>531</v>
      </c>
      <c r="E32" s="21"/>
      <c r="F32" s="21">
        <v>467</v>
      </c>
      <c r="G32" s="21">
        <v>1534</v>
      </c>
      <c r="H32" s="21">
        <v>3934</v>
      </c>
      <c r="L32" s="19" t="s">
        <v>10</v>
      </c>
      <c r="M32" s="21">
        <v>2</v>
      </c>
      <c r="N32" s="21">
        <v>4</v>
      </c>
      <c r="O32" s="21">
        <v>7</v>
      </c>
      <c r="P32" s="21">
        <v>13</v>
      </c>
    </row>
    <row r="33" spans="1:21" x14ac:dyDescent="0.25">
      <c r="A33" s="19" t="s">
        <v>27</v>
      </c>
      <c r="B33" s="21"/>
      <c r="C33" s="21"/>
      <c r="D33" s="21"/>
      <c r="E33" s="21"/>
      <c r="F33" s="21">
        <v>396</v>
      </c>
      <c r="G33" s="21">
        <v>961</v>
      </c>
      <c r="H33" s="21">
        <v>1357</v>
      </c>
      <c r="L33" s="19" t="s">
        <v>19</v>
      </c>
      <c r="M33" s="21">
        <v>2</v>
      </c>
      <c r="N33" s="21"/>
      <c r="O33" s="21">
        <v>2</v>
      </c>
      <c r="P33" s="21">
        <v>4</v>
      </c>
    </row>
    <row r="34" spans="1:21" x14ac:dyDescent="0.25">
      <c r="A34" s="19" t="s">
        <v>23</v>
      </c>
      <c r="B34" s="21"/>
      <c r="C34" s="21">
        <v>1036</v>
      </c>
      <c r="D34" s="21"/>
      <c r="E34" s="21">
        <v>660</v>
      </c>
      <c r="F34" s="21">
        <v>527</v>
      </c>
      <c r="G34" s="21"/>
      <c r="H34" s="21">
        <v>2223</v>
      </c>
      <c r="L34" s="19" t="s">
        <v>14</v>
      </c>
      <c r="M34" s="21">
        <v>4</v>
      </c>
      <c r="N34" s="21">
        <v>4</v>
      </c>
      <c r="O34" s="21">
        <v>3</v>
      </c>
      <c r="P34" s="21">
        <v>11</v>
      </c>
    </row>
    <row r="35" spans="1:21" x14ac:dyDescent="0.25">
      <c r="A35" s="19" t="s">
        <v>20</v>
      </c>
      <c r="B35" s="21"/>
      <c r="C35" s="21">
        <v>999</v>
      </c>
      <c r="D35" s="21"/>
      <c r="E35" s="21">
        <v>559</v>
      </c>
      <c r="F35" s="21"/>
      <c r="G35" s="21">
        <v>437</v>
      </c>
      <c r="H35" s="21">
        <v>1995</v>
      </c>
      <c r="L35" s="19" t="s">
        <v>17</v>
      </c>
      <c r="M35" s="21">
        <v>3</v>
      </c>
      <c r="N35" s="21">
        <v>3</v>
      </c>
      <c r="O35" s="21"/>
      <c r="P35" s="21">
        <v>6</v>
      </c>
    </row>
    <row r="36" spans="1:21" x14ac:dyDescent="0.25">
      <c r="A36" s="19" t="s">
        <v>144</v>
      </c>
      <c r="B36" s="21">
        <v>1402</v>
      </c>
      <c r="C36" s="21">
        <v>2035</v>
      </c>
      <c r="D36" s="21">
        <v>1159</v>
      </c>
      <c r="E36" s="21">
        <v>2074</v>
      </c>
      <c r="F36" s="21">
        <v>1390</v>
      </c>
      <c r="G36" s="21">
        <v>2932</v>
      </c>
      <c r="H36" s="21">
        <v>10992</v>
      </c>
      <c r="L36" s="19" t="s">
        <v>7</v>
      </c>
      <c r="M36" s="21">
        <v>4</v>
      </c>
      <c r="N36" s="21">
        <v>4</v>
      </c>
      <c r="O36" s="21">
        <v>2</v>
      </c>
      <c r="P36" s="21">
        <v>10</v>
      </c>
    </row>
    <row r="37" spans="1:21" x14ac:dyDescent="0.25">
      <c r="L37" s="19" t="s">
        <v>144</v>
      </c>
      <c r="M37" s="21">
        <v>17</v>
      </c>
      <c r="N37" s="21">
        <v>18</v>
      </c>
      <c r="O37" s="21">
        <v>18</v>
      </c>
      <c r="P37" s="21">
        <v>53</v>
      </c>
    </row>
    <row r="48" spans="1:21" x14ac:dyDescent="0.25">
      <c r="A48" s="6"/>
      <c r="B48" s="3"/>
      <c r="C48" s="3"/>
      <c r="D48" s="3"/>
      <c r="E48" s="3"/>
      <c r="F48" s="3"/>
      <c r="G48" s="3"/>
      <c r="H48" s="3"/>
      <c r="I48" s="3"/>
      <c r="J48" s="7"/>
      <c r="L48" s="6"/>
      <c r="M48" s="3"/>
      <c r="N48" s="3"/>
      <c r="O48" s="3"/>
      <c r="P48" s="3"/>
      <c r="Q48" s="3"/>
      <c r="R48" s="3"/>
      <c r="S48" s="3"/>
      <c r="T48" s="3"/>
      <c r="U48" s="7"/>
    </row>
    <row r="49" spans="1:21" x14ac:dyDescent="0.25">
      <c r="A49" s="6"/>
      <c r="B49" s="3"/>
      <c r="C49" s="3"/>
      <c r="D49" s="3"/>
      <c r="E49" s="3"/>
      <c r="F49" s="3"/>
      <c r="G49" s="3"/>
      <c r="H49" s="3"/>
      <c r="I49" s="3"/>
      <c r="J49" s="7"/>
      <c r="L49" s="6"/>
      <c r="M49" s="3"/>
      <c r="N49" s="3"/>
      <c r="O49" s="3"/>
      <c r="P49" s="3"/>
      <c r="Q49" s="3"/>
      <c r="R49" s="3"/>
      <c r="S49" s="3"/>
      <c r="T49" s="3"/>
      <c r="U49" s="7"/>
    </row>
    <row r="50" spans="1:21" x14ac:dyDescent="0.25">
      <c r="A50" s="6"/>
      <c r="B50" s="3"/>
      <c r="C50" s="3"/>
      <c r="D50" s="3"/>
      <c r="E50" s="3"/>
      <c r="F50" s="3"/>
      <c r="G50" s="3"/>
      <c r="H50" s="3"/>
      <c r="I50" s="3"/>
      <c r="J50" s="7"/>
      <c r="L50" s="6"/>
      <c r="M50" s="3"/>
      <c r="N50" s="3"/>
      <c r="O50" s="3"/>
      <c r="P50" s="3"/>
      <c r="Q50" s="3"/>
      <c r="R50" s="3"/>
      <c r="S50" s="3"/>
      <c r="T50" s="3"/>
      <c r="U50" s="7"/>
    </row>
    <row r="51" spans="1:21" x14ac:dyDescent="0.25">
      <c r="A51" s="6"/>
      <c r="B51" s="3"/>
      <c r="C51" s="3"/>
      <c r="D51" s="3"/>
      <c r="E51" s="3"/>
      <c r="F51" s="3"/>
      <c r="G51" s="3"/>
      <c r="H51" s="3"/>
      <c r="I51" s="3"/>
      <c r="J51" s="7"/>
      <c r="L51" s="6"/>
      <c r="M51" s="3"/>
      <c r="N51" s="3"/>
      <c r="O51" s="3"/>
      <c r="P51" s="3"/>
      <c r="Q51" s="3"/>
      <c r="R51" s="3"/>
      <c r="S51" s="3"/>
      <c r="T51" s="3"/>
      <c r="U51" s="7"/>
    </row>
    <row r="52" spans="1:21" x14ac:dyDescent="0.25">
      <c r="A52" s="6"/>
      <c r="B52" s="3"/>
      <c r="C52" s="3"/>
      <c r="D52" s="3"/>
      <c r="E52" s="3"/>
      <c r="F52" s="3"/>
      <c r="G52" s="3"/>
      <c r="H52" s="3"/>
      <c r="I52" s="3"/>
      <c r="J52" s="7"/>
      <c r="L52" s="6"/>
      <c r="M52" s="3"/>
      <c r="N52" s="3"/>
      <c r="O52" s="3"/>
      <c r="P52" s="3"/>
      <c r="Q52" s="3"/>
      <c r="R52" s="3"/>
      <c r="S52" s="3"/>
      <c r="T52" s="3"/>
      <c r="U52" s="7"/>
    </row>
    <row r="53" spans="1:21" ht="13.8" thickBot="1" x14ac:dyDescent="0.3">
      <c r="A53" s="8"/>
      <c r="B53" s="9"/>
      <c r="C53" s="9"/>
      <c r="D53" s="9"/>
      <c r="E53" s="9"/>
      <c r="F53" s="9"/>
      <c r="G53" s="9"/>
      <c r="H53" s="9"/>
      <c r="I53" s="9"/>
      <c r="J53" s="10"/>
      <c r="L53" s="8"/>
      <c r="M53" s="9"/>
      <c r="N53" s="9"/>
      <c r="O53" s="9"/>
      <c r="P53" s="9"/>
      <c r="Q53" s="9"/>
      <c r="R53" s="9"/>
      <c r="S53" s="9"/>
      <c r="T53" s="9"/>
      <c r="U53" s="10"/>
    </row>
    <row r="54" spans="1:21" ht="13.8" thickBot="1" x14ac:dyDescent="0.3"/>
    <row r="55" spans="1:21" x14ac:dyDescent="0.25">
      <c r="A55" s="14" t="s">
        <v>33</v>
      </c>
      <c r="B55" s="4"/>
      <c r="C55" s="4"/>
      <c r="D55" s="4"/>
      <c r="E55" s="4"/>
      <c r="F55" s="4"/>
      <c r="G55" s="4"/>
      <c r="H55" s="4"/>
      <c r="I55" s="4"/>
      <c r="J55" s="5"/>
    </row>
    <row r="56" spans="1:21" x14ac:dyDescent="0.25">
      <c r="A56" s="26" t="s">
        <v>34</v>
      </c>
      <c r="B56" s="19" t="s">
        <v>147</v>
      </c>
      <c r="C56" s="3"/>
      <c r="D56" s="3"/>
      <c r="E56" s="3"/>
      <c r="F56" s="3"/>
      <c r="G56" s="3"/>
      <c r="H56" s="3"/>
      <c r="I56" s="3"/>
      <c r="J56" s="7"/>
    </row>
    <row r="57" spans="1:21" x14ac:dyDescent="0.25">
      <c r="A57" s="6"/>
      <c r="B57" s="3"/>
      <c r="C57" s="3"/>
      <c r="D57" s="3"/>
      <c r="E57" s="3"/>
      <c r="F57" s="3"/>
      <c r="G57" s="3"/>
      <c r="H57" s="3"/>
      <c r="I57" s="3"/>
      <c r="J57" s="7"/>
    </row>
    <row r="58" spans="1:21" x14ac:dyDescent="0.25">
      <c r="A58" s="26" t="s">
        <v>150</v>
      </c>
      <c r="B58" s="26" t="s">
        <v>145</v>
      </c>
      <c r="F58" s="3"/>
      <c r="G58" s="3"/>
      <c r="H58" s="3"/>
      <c r="I58" s="3"/>
      <c r="J58" s="7"/>
    </row>
    <row r="59" spans="1:21" x14ac:dyDescent="0.25">
      <c r="A59" s="26" t="s">
        <v>143</v>
      </c>
      <c r="B59" t="s">
        <v>6</v>
      </c>
      <c r="C59" t="s">
        <v>8</v>
      </c>
      <c r="D59" t="s">
        <v>11</v>
      </c>
      <c r="E59" t="s">
        <v>144</v>
      </c>
      <c r="F59" s="3"/>
      <c r="G59" s="3"/>
      <c r="H59" s="3"/>
      <c r="I59" s="3"/>
      <c r="J59" s="7"/>
    </row>
    <row r="60" spans="1:21" x14ac:dyDescent="0.25">
      <c r="A60" s="19" t="s">
        <v>12</v>
      </c>
      <c r="B60" s="21">
        <v>660</v>
      </c>
      <c r="C60" s="21">
        <v>440</v>
      </c>
      <c r="D60" s="21">
        <v>214</v>
      </c>
      <c r="E60" s="21">
        <v>214</v>
      </c>
      <c r="F60" s="3"/>
      <c r="G60" s="3"/>
      <c r="H60" s="3"/>
      <c r="I60" s="3"/>
      <c r="J60" s="7"/>
    </row>
    <row r="61" spans="1:21" x14ac:dyDescent="0.25">
      <c r="A61" s="19" t="s">
        <v>10</v>
      </c>
      <c r="B61" s="21">
        <v>999</v>
      </c>
      <c r="C61" s="21">
        <v>404</v>
      </c>
      <c r="D61" s="21">
        <v>408</v>
      </c>
      <c r="E61" s="21">
        <v>404</v>
      </c>
      <c r="F61" s="3"/>
      <c r="G61" s="3"/>
      <c r="H61" s="3"/>
      <c r="I61" s="3"/>
      <c r="J61" s="7"/>
    </row>
    <row r="62" spans="1:21" x14ac:dyDescent="0.25">
      <c r="A62" s="19" t="s">
        <v>19</v>
      </c>
      <c r="B62" s="21">
        <v>531</v>
      </c>
      <c r="C62" s="21"/>
      <c r="D62" s="21">
        <v>873</v>
      </c>
      <c r="E62" s="21">
        <v>531</v>
      </c>
      <c r="F62" s="3"/>
      <c r="G62" s="3"/>
      <c r="H62" s="3"/>
      <c r="I62" s="3"/>
      <c r="J62" s="7"/>
    </row>
    <row r="63" spans="1:21" x14ac:dyDescent="0.25">
      <c r="A63" s="19" t="s">
        <v>14</v>
      </c>
      <c r="B63" s="21">
        <v>219</v>
      </c>
      <c r="C63" s="21">
        <v>219</v>
      </c>
      <c r="D63" s="21">
        <v>203</v>
      </c>
      <c r="E63" s="21">
        <v>203</v>
      </c>
      <c r="F63" s="3"/>
      <c r="G63" s="3"/>
      <c r="H63" s="3"/>
      <c r="I63" s="3"/>
      <c r="J63" s="7"/>
    </row>
    <row r="64" spans="1:21" x14ac:dyDescent="0.25">
      <c r="A64" s="19" t="s">
        <v>17</v>
      </c>
      <c r="B64" s="21">
        <v>396</v>
      </c>
      <c r="C64" s="21">
        <v>335</v>
      </c>
      <c r="D64" s="21"/>
      <c r="E64" s="21">
        <v>335</v>
      </c>
      <c r="F64" s="3"/>
      <c r="G64" s="3"/>
      <c r="H64" s="3"/>
      <c r="I64" s="3"/>
      <c r="J64" s="7"/>
    </row>
    <row r="65" spans="1:10" x14ac:dyDescent="0.25">
      <c r="A65" s="19" t="s">
        <v>7</v>
      </c>
      <c r="B65" s="21">
        <v>437</v>
      </c>
      <c r="C65" s="21">
        <v>219</v>
      </c>
      <c r="D65" s="21">
        <v>464</v>
      </c>
      <c r="E65" s="21">
        <v>219</v>
      </c>
      <c r="F65" s="3"/>
      <c r="G65" s="3"/>
      <c r="H65" s="3"/>
      <c r="I65" s="3"/>
      <c r="J65" s="7"/>
    </row>
    <row r="66" spans="1:10" x14ac:dyDescent="0.25">
      <c r="A66" s="19" t="s">
        <v>144</v>
      </c>
      <c r="B66" s="21">
        <v>219</v>
      </c>
      <c r="C66" s="21">
        <v>219</v>
      </c>
      <c r="D66" s="21">
        <v>203</v>
      </c>
      <c r="E66" s="21">
        <v>203</v>
      </c>
      <c r="F66" s="3"/>
      <c r="G66" s="3"/>
      <c r="H66" s="3"/>
      <c r="I66" s="3"/>
      <c r="J66" s="7"/>
    </row>
    <row r="67" spans="1:10" x14ac:dyDescent="0.25">
      <c r="D67" s="3"/>
      <c r="E67" s="3"/>
      <c r="F67" s="3"/>
      <c r="G67" s="3"/>
      <c r="H67" s="3"/>
      <c r="I67" s="3"/>
      <c r="J67" s="7"/>
    </row>
    <row r="68" spans="1:10" x14ac:dyDescent="0.25">
      <c r="D68" s="3"/>
      <c r="E68" s="3"/>
      <c r="F68" s="3"/>
      <c r="G68" s="3"/>
      <c r="H68" s="3"/>
      <c r="I68" s="3"/>
      <c r="J68" s="7"/>
    </row>
    <row r="69" spans="1:10" x14ac:dyDescent="0.25">
      <c r="D69" s="3"/>
      <c r="E69" s="3"/>
      <c r="F69" s="3"/>
      <c r="G69" s="3"/>
      <c r="H69" s="3"/>
      <c r="I69" s="3"/>
      <c r="J69" s="7"/>
    </row>
    <row r="70" spans="1:10" x14ac:dyDescent="0.25">
      <c r="D70" s="3"/>
      <c r="E70" s="3"/>
      <c r="F70" s="3"/>
      <c r="G70" s="3"/>
      <c r="H70" s="3"/>
      <c r="I70" s="3"/>
      <c r="J70" s="7"/>
    </row>
    <row r="71" spans="1:10" x14ac:dyDescent="0.25">
      <c r="D71" s="3"/>
      <c r="E71" s="3"/>
      <c r="F71" s="3"/>
      <c r="G71" s="3"/>
      <c r="H71" s="3"/>
      <c r="I71" s="3"/>
      <c r="J71" s="7"/>
    </row>
    <row r="72" spans="1:10" x14ac:dyDescent="0.25">
      <c r="D72" s="3"/>
      <c r="E72" s="3"/>
      <c r="F72" s="3"/>
      <c r="G72" s="3"/>
      <c r="H72" s="3"/>
      <c r="I72" s="3"/>
      <c r="J72" s="7"/>
    </row>
    <row r="73" spans="1:10" x14ac:dyDescent="0.25">
      <c r="D73" s="3"/>
      <c r="E73" s="3"/>
      <c r="F73" s="3"/>
      <c r="G73" s="3"/>
      <c r="H73" s="3"/>
      <c r="I73" s="3"/>
      <c r="J73" s="7"/>
    </row>
    <row r="74" spans="1:10" x14ac:dyDescent="0.25">
      <c r="D74" s="3"/>
      <c r="E74" s="3"/>
      <c r="F74" s="3"/>
      <c r="G74" s="3"/>
      <c r="H74" s="3"/>
      <c r="I74" s="3"/>
      <c r="J74" s="7"/>
    </row>
    <row r="75" spans="1:10" x14ac:dyDescent="0.25">
      <c r="D75" s="3"/>
      <c r="E75" s="3"/>
      <c r="F75" s="3"/>
      <c r="G75" s="3"/>
      <c r="H75" s="3"/>
      <c r="I75" s="3"/>
      <c r="J75" s="7"/>
    </row>
    <row r="76" spans="1:10" x14ac:dyDescent="0.25">
      <c r="A76" s="6"/>
      <c r="B76" s="3"/>
      <c r="C76" s="3"/>
      <c r="D76" s="3"/>
      <c r="E76" s="3"/>
      <c r="F76" s="3"/>
      <c r="G76" s="3"/>
      <c r="H76" s="3"/>
      <c r="I76" s="3"/>
      <c r="J76" s="7"/>
    </row>
    <row r="77" spans="1:10" x14ac:dyDescent="0.25">
      <c r="A77" s="6"/>
      <c r="B77" s="3"/>
      <c r="C77" s="3"/>
      <c r="D77" s="3"/>
      <c r="E77" s="3"/>
      <c r="F77" s="3"/>
      <c r="G77" s="3"/>
      <c r="H77" s="3"/>
      <c r="I77" s="3"/>
      <c r="J77" s="7"/>
    </row>
    <row r="78" spans="1:10" x14ac:dyDescent="0.25">
      <c r="A78" s="6"/>
      <c r="B78" s="3"/>
      <c r="C78" s="3"/>
      <c r="D78" s="3"/>
      <c r="E78" s="3"/>
      <c r="F78" s="3"/>
      <c r="G78" s="3"/>
      <c r="H78" s="3"/>
      <c r="I78" s="3"/>
      <c r="J78" s="7"/>
    </row>
    <row r="79" spans="1:10" x14ac:dyDescent="0.25">
      <c r="A79" s="6"/>
      <c r="B79" s="3"/>
      <c r="C79" s="3"/>
      <c r="D79" s="3"/>
      <c r="E79" s="3"/>
      <c r="F79" s="3"/>
      <c r="G79" s="3"/>
      <c r="H79" s="3"/>
      <c r="I79" s="3"/>
      <c r="J79" s="7"/>
    </row>
    <row r="80" spans="1:10" ht="13.8" thickBot="1" x14ac:dyDescent="0.3">
      <c r="A80" s="8"/>
      <c r="B80" s="9"/>
      <c r="C80" s="9"/>
      <c r="D80" s="9"/>
      <c r="E80" s="9"/>
      <c r="F80" s="9"/>
      <c r="G80" s="9"/>
      <c r="H80" s="9"/>
      <c r="I80" s="9"/>
      <c r="J80" s="10"/>
    </row>
  </sheetData>
  <phoneticPr fontId="3"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7"/>
  </sheetPr>
  <dimension ref="A1:O167"/>
  <sheetViews>
    <sheetView rightToLeft="1" topLeftCell="A16" workbookViewId="0">
      <selection activeCell="J64" sqref="J64"/>
    </sheetView>
  </sheetViews>
  <sheetFormatPr defaultRowHeight="13.2" x14ac:dyDescent="0.25"/>
  <cols>
    <col min="1" max="1" width="25.21875" bestFit="1" customWidth="1"/>
    <col min="2" max="2" width="15.5546875" bestFit="1" customWidth="1"/>
  </cols>
  <sheetData>
    <row r="1" spans="1:8" x14ac:dyDescent="0.25">
      <c r="A1" t="s">
        <v>128</v>
      </c>
      <c r="B1" s="25" t="s">
        <v>129</v>
      </c>
    </row>
    <row r="2" spans="1:8" x14ac:dyDescent="0.25">
      <c r="A2">
        <v>6.1101000000000001</v>
      </c>
      <c r="B2">
        <v>17.591999999999999</v>
      </c>
    </row>
    <row r="3" spans="1:8" x14ac:dyDescent="0.25">
      <c r="A3">
        <v>5.5277000000000003</v>
      </c>
      <c r="B3">
        <v>9.1302000000000003</v>
      </c>
    </row>
    <row r="4" spans="1:8" x14ac:dyDescent="0.25">
      <c r="A4">
        <v>8.5185999999999993</v>
      </c>
      <c r="B4">
        <v>13.662000000000001</v>
      </c>
    </row>
    <row r="5" spans="1:8" x14ac:dyDescent="0.25">
      <c r="A5">
        <v>7.0031999999999996</v>
      </c>
      <c r="B5">
        <v>11.853999999999999</v>
      </c>
    </row>
    <row r="6" spans="1:8" x14ac:dyDescent="0.25">
      <c r="A6">
        <v>5.8597999999999999</v>
      </c>
      <c r="B6">
        <v>6.8232999999999997</v>
      </c>
    </row>
    <row r="7" spans="1:8" x14ac:dyDescent="0.25">
      <c r="A7">
        <v>8.3828999999999994</v>
      </c>
      <c r="B7">
        <v>11.885999999999999</v>
      </c>
    </row>
    <row r="8" spans="1:8" x14ac:dyDescent="0.25">
      <c r="A8">
        <v>7.4763999999999999</v>
      </c>
      <c r="B8">
        <v>4.3483000000000001</v>
      </c>
    </row>
    <row r="9" spans="1:8" x14ac:dyDescent="0.25">
      <c r="A9">
        <v>8.5780999999999992</v>
      </c>
      <c r="B9">
        <v>12</v>
      </c>
    </row>
    <row r="10" spans="1:8" x14ac:dyDescent="0.25">
      <c r="A10">
        <v>6.4862000000000002</v>
      </c>
      <c r="B10">
        <v>6.5987</v>
      </c>
    </row>
    <row r="11" spans="1:8" x14ac:dyDescent="0.25">
      <c r="A11">
        <v>5.0545999999999998</v>
      </c>
      <c r="B11">
        <v>3.8166000000000002</v>
      </c>
    </row>
    <row r="12" spans="1:8" ht="13.8" thickBot="1" x14ac:dyDescent="0.3">
      <c r="A12">
        <v>5.7107000000000001</v>
      </c>
      <c r="B12">
        <v>3.2522000000000002</v>
      </c>
    </row>
    <row r="13" spans="1:8" x14ac:dyDescent="0.25">
      <c r="A13">
        <v>14.164</v>
      </c>
      <c r="B13">
        <v>15.505000000000001</v>
      </c>
      <c r="E13" s="29"/>
      <c r="F13" s="29"/>
      <c r="G13" s="29"/>
      <c r="H13" s="29"/>
    </row>
    <row r="14" spans="1:8" x14ac:dyDescent="0.25">
      <c r="A14">
        <v>5.734</v>
      </c>
      <c r="B14">
        <v>3.1551</v>
      </c>
      <c r="E14" s="27"/>
      <c r="F14" s="27"/>
      <c r="G14" s="27"/>
      <c r="H14" s="27"/>
    </row>
    <row r="15" spans="1:8" x14ac:dyDescent="0.25">
      <c r="A15">
        <v>8.4084000000000003</v>
      </c>
      <c r="B15">
        <v>7.2257999999999996</v>
      </c>
      <c r="D15" s="25"/>
      <c r="E15" s="27"/>
      <c r="F15" s="27"/>
      <c r="G15" s="27"/>
      <c r="H15" s="27"/>
    </row>
    <row r="16" spans="1:8" ht="13.8" thickBot="1" x14ac:dyDescent="0.3">
      <c r="A16">
        <v>5.6406999999999998</v>
      </c>
      <c r="B16">
        <v>0.71618000000000004</v>
      </c>
      <c r="E16" s="28"/>
      <c r="F16" s="28"/>
      <c r="G16" s="28"/>
      <c r="H16" s="28"/>
    </row>
    <row r="17" spans="1:15" x14ac:dyDescent="0.25">
      <c r="A17">
        <v>5.3794000000000004</v>
      </c>
      <c r="B17">
        <v>3.5129000000000001</v>
      </c>
    </row>
    <row r="18" spans="1:15" x14ac:dyDescent="0.25">
      <c r="A18">
        <v>6.3654000000000002</v>
      </c>
      <c r="B18">
        <v>5.3048000000000002</v>
      </c>
    </row>
    <row r="19" spans="1:15" x14ac:dyDescent="0.25">
      <c r="A19">
        <v>5.1300999999999997</v>
      </c>
      <c r="B19">
        <v>0.56076999999999999</v>
      </c>
    </row>
    <row r="20" spans="1:15" x14ac:dyDescent="0.25">
      <c r="A20">
        <v>6.4295999999999998</v>
      </c>
      <c r="B20">
        <v>3.6518000000000002</v>
      </c>
    </row>
    <row r="21" spans="1:15" x14ac:dyDescent="0.25">
      <c r="A21">
        <v>7.0708000000000002</v>
      </c>
      <c r="B21">
        <v>5.3893000000000004</v>
      </c>
    </row>
    <row r="22" spans="1:15" x14ac:dyDescent="0.25">
      <c r="A22">
        <v>6.1890999999999998</v>
      </c>
      <c r="B22">
        <v>3.1385999999999998</v>
      </c>
    </row>
    <row r="23" spans="1:15" x14ac:dyDescent="0.25">
      <c r="A23">
        <v>20.27</v>
      </c>
      <c r="B23">
        <v>21.766999999999999</v>
      </c>
    </row>
    <row r="24" spans="1:15" x14ac:dyDescent="0.25">
      <c r="A24">
        <v>5.4901</v>
      </c>
      <c r="B24">
        <v>4.2629999999999999</v>
      </c>
    </row>
    <row r="25" spans="1:15" x14ac:dyDescent="0.25">
      <c r="A25">
        <v>6.3261000000000003</v>
      </c>
      <c r="B25">
        <v>5.1875</v>
      </c>
    </row>
    <row r="26" spans="1:15" x14ac:dyDescent="0.25">
      <c r="A26">
        <v>5.5648999999999997</v>
      </c>
      <c r="B26">
        <v>3.0825</v>
      </c>
    </row>
    <row r="27" spans="1:15" x14ac:dyDescent="0.25">
      <c r="A27">
        <v>18.945</v>
      </c>
      <c r="B27">
        <v>22.638000000000002</v>
      </c>
    </row>
    <row r="28" spans="1:15" x14ac:dyDescent="0.25">
      <c r="A28">
        <v>12.827999999999999</v>
      </c>
      <c r="B28">
        <v>13.500999999999999</v>
      </c>
    </row>
    <row r="29" spans="1:15" x14ac:dyDescent="0.25">
      <c r="A29">
        <v>10.957000000000001</v>
      </c>
      <c r="B29">
        <v>7.0467000000000004</v>
      </c>
      <c r="C29" s="3"/>
      <c r="D29" s="3"/>
      <c r="E29" s="3"/>
      <c r="F29" s="3"/>
      <c r="G29" s="3"/>
      <c r="H29" s="3"/>
      <c r="I29" s="3"/>
      <c r="J29" s="3"/>
      <c r="K29" s="3"/>
      <c r="L29" s="3"/>
      <c r="M29" s="3"/>
      <c r="N29" s="3"/>
      <c r="O29" s="3"/>
    </row>
    <row r="30" spans="1:15" x14ac:dyDescent="0.25">
      <c r="A30">
        <v>13.176</v>
      </c>
      <c r="B30">
        <v>14.692</v>
      </c>
      <c r="C30" s="3"/>
      <c r="D30" s="3"/>
      <c r="E30" s="3"/>
      <c r="F30" s="3"/>
      <c r="G30" s="3"/>
      <c r="H30" s="3"/>
      <c r="I30" s="3"/>
      <c r="J30" s="3"/>
      <c r="K30" s="3"/>
      <c r="L30" s="3"/>
      <c r="M30" s="3"/>
      <c r="N30" s="3"/>
      <c r="O30" s="3"/>
    </row>
    <row r="31" spans="1:15" x14ac:dyDescent="0.25">
      <c r="A31">
        <v>22.202999999999999</v>
      </c>
      <c r="B31">
        <v>24.146999999999998</v>
      </c>
      <c r="C31" s="3"/>
      <c r="D31" s="30"/>
      <c r="E31" s="30"/>
      <c r="F31" s="3"/>
      <c r="G31" s="3"/>
      <c r="H31" s="3"/>
      <c r="I31" s="3"/>
      <c r="J31" s="3"/>
      <c r="K31" s="3"/>
      <c r="L31" s="3"/>
      <c r="M31" s="3"/>
      <c r="N31" s="3"/>
      <c r="O31" s="3"/>
    </row>
    <row r="32" spans="1:15" x14ac:dyDescent="0.25">
      <c r="A32">
        <v>5.2523999999999997</v>
      </c>
      <c r="B32">
        <v>-1.22</v>
      </c>
      <c r="C32" s="3"/>
      <c r="D32" s="27"/>
      <c r="E32" s="27"/>
      <c r="F32" s="3"/>
      <c r="G32" s="3"/>
      <c r="H32" s="3"/>
      <c r="I32" s="3"/>
      <c r="J32" s="3"/>
      <c r="K32" s="3"/>
      <c r="L32" s="3"/>
      <c r="M32" s="3"/>
      <c r="N32" s="3"/>
      <c r="O32" s="3"/>
    </row>
    <row r="33" spans="1:15" x14ac:dyDescent="0.25">
      <c r="A33">
        <v>6.5894000000000004</v>
      </c>
      <c r="B33">
        <v>5.9965999999999999</v>
      </c>
      <c r="C33" s="3"/>
      <c r="D33" s="27"/>
      <c r="E33" s="27"/>
      <c r="F33" s="3"/>
      <c r="G33" s="3"/>
      <c r="H33" s="3"/>
      <c r="I33" s="3"/>
      <c r="J33" s="3"/>
      <c r="K33" s="3"/>
      <c r="L33" s="3"/>
      <c r="M33" s="3"/>
      <c r="N33" s="3"/>
      <c r="O33" s="3"/>
    </row>
    <row r="34" spans="1:15" x14ac:dyDescent="0.25">
      <c r="A34">
        <v>9.2482000000000006</v>
      </c>
      <c r="B34">
        <v>12.134</v>
      </c>
      <c r="C34" s="3"/>
      <c r="D34" s="27"/>
      <c r="E34" s="27"/>
      <c r="F34" s="3"/>
      <c r="G34" s="3"/>
      <c r="H34" s="3"/>
      <c r="I34" s="3"/>
      <c r="J34" s="3"/>
      <c r="K34" s="3"/>
      <c r="L34" s="3"/>
      <c r="M34" s="3"/>
      <c r="N34" s="3"/>
      <c r="O34" s="3"/>
    </row>
    <row r="35" spans="1:15" x14ac:dyDescent="0.25">
      <c r="A35">
        <v>5.8917999999999999</v>
      </c>
      <c r="B35">
        <v>1.8494999999999999</v>
      </c>
      <c r="C35" s="3"/>
      <c r="D35" s="27"/>
      <c r="E35" s="27"/>
      <c r="F35" s="3"/>
      <c r="G35" s="3"/>
      <c r="H35" s="3"/>
      <c r="I35" s="3"/>
      <c r="J35" s="3"/>
      <c r="K35" s="3"/>
      <c r="L35" s="3"/>
      <c r="M35" s="3"/>
      <c r="N35" s="3"/>
      <c r="O35" s="3"/>
    </row>
    <row r="36" spans="1:15" x14ac:dyDescent="0.25">
      <c r="A36">
        <v>8.2111000000000001</v>
      </c>
      <c r="B36">
        <v>6.5426000000000002</v>
      </c>
      <c r="C36" s="3"/>
      <c r="D36" s="27"/>
      <c r="E36" s="27"/>
      <c r="F36" s="3"/>
      <c r="G36" s="3"/>
      <c r="H36" s="3"/>
      <c r="I36" s="3"/>
      <c r="J36" s="3"/>
      <c r="K36" s="3"/>
      <c r="L36" s="3"/>
      <c r="M36" s="3"/>
      <c r="N36" s="3"/>
      <c r="O36" s="3"/>
    </row>
    <row r="37" spans="1:15" x14ac:dyDescent="0.25">
      <c r="A37">
        <v>7.9333999999999998</v>
      </c>
      <c r="B37">
        <v>4.5622999999999996</v>
      </c>
      <c r="C37" s="3"/>
      <c r="D37" s="3"/>
      <c r="E37" s="3"/>
      <c r="F37" s="3"/>
      <c r="G37" s="3"/>
      <c r="H37" s="3"/>
      <c r="I37" s="3"/>
      <c r="J37" s="3"/>
      <c r="K37" s="3"/>
      <c r="L37" s="3"/>
      <c r="M37" s="3"/>
      <c r="N37" s="3"/>
      <c r="O37" s="3"/>
    </row>
    <row r="38" spans="1:15" x14ac:dyDescent="0.25">
      <c r="A38">
        <v>8.0959000000000003</v>
      </c>
      <c r="B38">
        <v>4.1163999999999996</v>
      </c>
      <c r="C38" s="3"/>
      <c r="D38" s="3"/>
      <c r="E38" s="3"/>
      <c r="F38" s="3"/>
      <c r="G38" s="3"/>
      <c r="H38" s="3"/>
      <c r="I38" s="3"/>
      <c r="J38" s="3"/>
      <c r="K38" s="3"/>
      <c r="L38" s="3"/>
      <c r="M38" s="3"/>
      <c r="N38" s="3"/>
      <c r="O38" s="3"/>
    </row>
    <row r="39" spans="1:15" x14ac:dyDescent="0.25">
      <c r="A39">
        <v>5.6063000000000001</v>
      </c>
      <c r="B39">
        <v>3.3927999999999998</v>
      </c>
      <c r="C39" s="3"/>
      <c r="D39" s="31"/>
      <c r="E39" s="31"/>
      <c r="F39" s="31"/>
      <c r="G39" s="31"/>
      <c r="H39" s="31"/>
      <c r="I39" s="31"/>
      <c r="J39" s="3"/>
      <c r="K39" s="3"/>
      <c r="L39" s="3"/>
      <c r="M39" s="3"/>
      <c r="N39" s="3"/>
      <c r="O39" s="3"/>
    </row>
    <row r="40" spans="1:15" x14ac:dyDescent="0.25">
      <c r="A40">
        <v>12.836</v>
      </c>
      <c r="B40">
        <v>10.117000000000001</v>
      </c>
      <c r="C40" s="3"/>
      <c r="D40" s="27"/>
      <c r="E40" s="27"/>
      <c r="F40" s="27"/>
      <c r="G40" s="27"/>
      <c r="H40" s="27"/>
      <c r="I40" s="27"/>
      <c r="J40" s="3"/>
      <c r="K40" s="3"/>
      <c r="L40" s="3"/>
      <c r="M40" s="3"/>
      <c r="N40" s="3"/>
      <c r="O40" s="3"/>
    </row>
    <row r="41" spans="1:15" x14ac:dyDescent="0.25">
      <c r="A41">
        <v>6.3533999999999997</v>
      </c>
      <c r="B41">
        <v>5.4973999999999998</v>
      </c>
      <c r="C41" s="3"/>
      <c r="D41" s="27"/>
      <c r="E41" s="27"/>
      <c r="F41" s="27"/>
      <c r="G41" s="27"/>
      <c r="H41" s="27"/>
      <c r="I41" s="27"/>
      <c r="J41" s="3"/>
      <c r="K41" s="3"/>
      <c r="L41" s="3"/>
      <c r="M41" s="3"/>
      <c r="N41" s="3"/>
      <c r="O41" s="3"/>
    </row>
    <row r="42" spans="1:15" x14ac:dyDescent="0.25">
      <c r="A42">
        <v>5.4069000000000003</v>
      </c>
      <c r="B42">
        <v>0.55657000000000001</v>
      </c>
      <c r="C42" s="3"/>
      <c r="D42" s="27"/>
      <c r="E42" s="27"/>
      <c r="F42" s="27"/>
      <c r="G42" s="27"/>
      <c r="H42" s="27"/>
      <c r="I42" s="27"/>
      <c r="J42" s="3"/>
      <c r="K42" s="3"/>
      <c r="L42" s="3"/>
      <c r="M42" s="3"/>
      <c r="N42" s="3"/>
      <c r="O42" s="3"/>
    </row>
    <row r="43" spans="1:15" x14ac:dyDescent="0.25">
      <c r="A43">
        <v>6.8825000000000003</v>
      </c>
      <c r="B43">
        <v>3.9115000000000002</v>
      </c>
      <c r="C43" s="3"/>
      <c r="D43" s="3"/>
      <c r="E43" s="3"/>
      <c r="F43" s="3"/>
      <c r="G43" s="3"/>
      <c r="H43" s="3"/>
      <c r="I43" s="3"/>
      <c r="J43" s="3"/>
      <c r="K43" s="3"/>
      <c r="L43" s="3"/>
      <c r="M43" s="3"/>
      <c r="N43" s="3"/>
      <c r="O43" s="3"/>
    </row>
    <row r="44" spans="1:15" x14ac:dyDescent="0.25">
      <c r="A44">
        <v>11.708</v>
      </c>
      <c r="B44">
        <v>5.3853999999999997</v>
      </c>
      <c r="C44" s="3"/>
      <c r="D44" s="31"/>
      <c r="E44" s="31"/>
      <c r="F44" s="31"/>
      <c r="G44" s="31"/>
      <c r="H44" s="31"/>
      <c r="I44" s="31"/>
      <c r="J44" s="31"/>
      <c r="K44" s="31"/>
      <c r="L44" s="31"/>
      <c r="M44" s="3"/>
      <c r="N44" s="3"/>
      <c r="O44" s="3"/>
    </row>
    <row r="45" spans="1:15" x14ac:dyDescent="0.25">
      <c r="A45">
        <v>5.7736999999999998</v>
      </c>
      <c r="B45">
        <v>2.4405999999999999</v>
      </c>
      <c r="C45" s="3"/>
      <c r="D45" s="27"/>
      <c r="E45" s="27"/>
      <c r="F45" s="27"/>
      <c r="G45" s="27"/>
      <c r="H45" s="27"/>
      <c r="I45" s="27"/>
      <c r="J45" s="27"/>
      <c r="K45" s="27"/>
      <c r="L45" s="27"/>
      <c r="M45" s="3"/>
      <c r="N45" s="3"/>
      <c r="O45" s="3"/>
    </row>
    <row r="46" spans="1:15" x14ac:dyDescent="0.25">
      <c r="A46">
        <v>7.8247</v>
      </c>
      <c r="B46">
        <v>6.7317999999999998</v>
      </c>
      <c r="C46" s="3"/>
      <c r="D46" s="27"/>
      <c r="E46" s="27"/>
      <c r="F46" s="27"/>
      <c r="G46" s="27"/>
      <c r="H46" s="27"/>
      <c r="I46" s="27"/>
      <c r="J46" s="27"/>
      <c r="K46" s="27"/>
      <c r="L46" s="27"/>
      <c r="M46" s="3"/>
      <c r="N46" s="3"/>
      <c r="O46" s="3"/>
    </row>
    <row r="47" spans="1:15" x14ac:dyDescent="0.25">
      <c r="A47">
        <v>7.0930999999999997</v>
      </c>
      <c r="B47">
        <v>1.0463</v>
      </c>
      <c r="F47" t="s">
        <v>155</v>
      </c>
    </row>
    <row r="48" spans="1:15" ht="13.8" thickBot="1" x14ac:dyDescent="0.3">
      <c r="A48">
        <v>5.0701999999999998</v>
      </c>
      <c r="B48">
        <v>5.1337000000000002</v>
      </c>
    </row>
    <row r="49" spans="1:14" x14ac:dyDescent="0.25">
      <c r="A49">
        <v>5.8014000000000001</v>
      </c>
      <c r="B49">
        <v>1.8440000000000001</v>
      </c>
      <c r="F49" s="39" t="s">
        <v>156</v>
      </c>
      <c r="G49" s="39"/>
    </row>
    <row r="50" spans="1:14" x14ac:dyDescent="0.25">
      <c r="A50">
        <v>11.7</v>
      </c>
      <c r="B50">
        <v>8.0043000000000006</v>
      </c>
      <c r="F50" s="27" t="s">
        <v>157</v>
      </c>
      <c r="G50" s="27">
        <v>0.83787323252634072</v>
      </c>
    </row>
    <row r="51" spans="1:14" x14ac:dyDescent="0.25">
      <c r="A51">
        <v>5.5415999999999999</v>
      </c>
      <c r="B51">
        <v>1.0179</v>
      </c>
      <c r="F51" s="27" t="s">
        <v>158</v>
      </c>
      <c r="G51" s="27">
        <v>0.70203155378413951</v>
      </c>
    </row>
    <row r="52" spans="1:14" x14ac:dyDescent="0.25">
      <c r="A52">
        <v>7.5401999999999996</v>
      </c>
      <c r="B52">
        <v>6.7504</v>
      </c>
      <c r="F52" s="27" t="s">
        <v>159</v>
      </c>
      <c r="G52" s="27">
        <v>0.69889504382397261</v>
      </c>
    </row>
    <row r="53" spans="1:14" x14ac:dyDescent="0.25">
      <c r="A53">
        <v>5.3076999999999996</v>
      </c>
      <c r="B53">
        <v>1.8395999999999999</v>
      </c>
      <c r="F53" s="27" t="s">
        <v>160</v>
      </c>
      <c r="G53" s="27">
        <v>3.0236479308752466</v>
      </c>
    </row>
    <row r="54" spans="1:14" ht="13.8" thickBot="1" x14ac:dyDescent="0.3">
      <c r="A54">
        <v>7.4238999999999997</v>
      </c>
      <c r="B54">
        <v>4.2885</v>
      </c>
      <c r="F54" s="28" t="s">
        <v>161</v>
      </c>
      <c r="G54" s="28">
        <v>97</v>
      </c>
    </row>
    <row r="55" spans="1:14" x14ac:dyDescent="0.25">
      <c r="A55">
        <v>7.6031000000000004</v>
      </c>
      <c r="B55">
        <v>4.9981</v>
      </c>
    </row>
    <row r="56" spans="1:14" ht="13.8" thickBot="1" x14ac:dyDescent="0.3">
      <c r="A56">
        <v>6.3327999999999998</v>
      </c>
      <c r="B56">
        <v>1.4233</v>
      </c>
      <c r="F56" t="s">
        <v>162</v>
      </c>
    </row>
    <row r="57" spans="1:14" x14ac:dyDescent="0.25">
      <c r="A57">
        <v>6.3589000000000002</v>
      </c>
      <c r="B57">
        <v>-1.4211</v>
      </c>
      <c r="F57" s="29"/>
      <c r="G57" s="29" t="s">
        <v>167</v>
      </c>
      <c r="H57" s="29" t="s">
        <v>168</v>
      </c>
      <c r="I57" s="29" t="s">
        <v>169</v>
      </c>
      <c r="J57" s="29" t="s">
        <v>170</v>
      </c>
      <c r="K57" s="29" t="s">
        <v>171</v>
      </c>
    </row>
    <row r="58" spans="1:14" x14ac:dyDescent="0.25">
      <c r="A58">
        <v>6.2742000000000004</v>
      </c>
      <c r="B58">
        <v>2.4756</v>
      </c>
      <c r="F58" s="27" t="s">
        <v>163</v>
      </c>
      <c r="G58" s="27">
        <v>1</v>
      </c>
      <c r="H58" s="27">
        <v>2046.3146047180394</v>
      </c>
      <c r="I58" s="27">
        <v>2046.3146047180394</v>
      </c>
      <c r="J58" s="27">
        <v>223.82570522644582</v>
      </c>
      <c r="K58" s="27">
        <v>1.0232099778761247E-26</v>
      </c>
    </row>
    <row r="59" spans="1:14" x14ac:dyDescent="0.25">
      <c r="A59">
        <v>5.6397000000000004</v>
      </c>
      <c r="B59">
        <v>4.6041999999999996</v>
      </c>
      <c r="F59" s="27" t="s">
        <v>164</v>
      </c>
      <c r="G59" s="27">
        <v>95</v>
      </c>
      <c r="H59" s="27">
        <v>868.53244693918521</v>
      </c>
      <c r="I59" s="27">
        <v>9.1424468098861595</v>
      </c>
      <c r="J59" s="27"/>
      <c r="K59" s="27"/>
    </row>
    <row r="60" spans="1:14" ht="13.8" thickBot="1" x14ac:dyDescent="0.3">
      <c r="A60">
        <v>9.3102</v>
      </c>
      <c r="B60">
        <v>3.9624000000000001</v>
      </c>
      <c r="F60" s="28" t="s">
        <v>165</v>
      </c>
      <c r="G60" s="28">
        <v>96</v>
      </c>
      <c r="H60" s="28">
        <v>2914.8470516572247</v>
      </c>
      <c r="I60" s="28"/>
      <c r="J60" s="28"/>
      <c r="K60" s="28"/>
    </row>
    <row r="61" spans="1:14" ht="13.8" thickBot="1" x14ac:dyDescent="0.3">
      <c r="A61">
        <v>9.4535999999999998</v>
      </c>
      <c r="B61">
        <v>5.4141000000000004</v>
      </c>
    </row>
    <row r="62" spans="1:14" x14ac:dyDescent="0.25">
      <c r="A62">
        <v>8.8254000000000001</v>
      </c>
      <c r="B62">
        <v>5.1694000000000004</v>
      </c>
      <c r="F62" s="29"/>
      <c r="G62" s="29" t="s">
        <v>172</v>
      </c>
      <c r="H62" s="29" t="s">
        <v>160</v>
      </c>
      <c r="I62" s="29" t="s">
        <v>173</v>
      </c>
      <c r="J62" s="29" t="s">
        <v>174</v>
      </c>
      <c r="K62" s="29" t="s">
        <v>175</v>
      </c>
      <c r="L62" s="29" t="s">
        <v>176</v>
      </c>
      <c r="M62" s="29" t="s">
        <v>177</v>
      </c>
      <c r="N62" s="29" t="s">
        <v>178</v>
      </c>
    </row>
    <row r="63" spans="1:14" x14ac:dyDescent="0.25">
      <c r="A63">
        <v>5.1792999999999996</v>
      </c>
      <c r="B63">
        <v>-0.74278999999999995</v>
      </c>
      <c r="F63" s="27" t="s">
        <v>166</v>
      </c>
      <c r="G63" s="27">
        <v>-3.8957808783118617</v>
      </c>
      <c r="H63" s="27">
        <v>0.71948282414067055</v>
      </c>
      <c r="I63" s="27">
        <v>-5.4146961506202311</v>
      </c>
      <c r="J63" s="27">
        <v>4.6078866493081754E-7</v>
      </c>
      <c r="K63" s="27">
        <v>-5.3241348769420966</v>
      </c>
      <c r="L63" s="27">
        <v>-2.4674268796816263</v>
      </c>
      <c r="M63" s="27">
        <v>-5.3241348769420966</v>
      </c>
      <c r="N63" s="27">
        <v>-2.4674268796816263</v>
      </c>
    </row>
    <row r="64" spans="1:14" ht="13.8" thickBot="1" x14ac:dyDescent="0.3">
      <c r="A64">
        <v>21.279</v>
      </c>
      <c r="B64">
        <v>17.928999999999998</v>
      </c>
      <c r="F64" s="28" t="s">
        <v>128</v>
      </c>
      <c r="G64" s="28">
        <v>1.1930336441895939</v>
      </c>
      <c r="H64" s="28">
        <v>7.9743943832587469E-2</v>
      </c>
      <c r="I64" s="28">
        <v>14.960805634271365</v>
      </c>
      <c r="J64" s="28">
        <v>1.0232099778761247E-26</v>
      </c>
      <c r="K64" s="28">
        <v>1.0347218996724636</v>
      </c>
      <c r="L64" s="28">
        <v>1.3513453887067242</v>
      </c>
      <c r="M64" s="28">
        <v>1.0347218996724636</v>
      </c>
      <c r="N64" s="28">
        <v>1.3513453887067242</v>
      </c>
    </row>
    <row r="65" spans="1:8" x14ac:dyDescent="0.25">
      <c r="A65">
        <v>14.907999999999999</v>
      </c>
      <c r="B65">
        <v>12.054</v>
      </c>
    </row>
    <row r="66" spans="1:8" x14ac:dyDescent="0.25">
      <c r="A66">
        <v>18.959</v>
      </c>
      <c r="B66">
        <v>17.053999999999998</v>
      </c>
    </row>
    <row r="67" spans="1:8" x14ac:dyDescent="0.25">
      <c r="A67">
        <v>7.2182000000000004</v>
      </c>
      <c r="B67">
        <v>4.8852000000000002</v>
      </c>
    </row>
    <row r="68" spans="1:8" x14ac:dyDescent="0.25">
      <c r="A68">
        <v>8.2950999999999997</v>
      </c>
      <c r="B68">
        <v>5.7442000000000002</v>
      </c>
      <c r="F68" t="s">
        <v>179</v>
      </c>
    </row>
    <row r="69" spans="1:8" ht="13.8" thickBot="1" x14ac:dyDescent="0.3">
      <c r="A69">
        <v>10.236000000000001</v>
      </c>
      <c r="B69">
        <v>7.7754000000000003</v>
      </c>
    </row>
    <row r="70" spans="1:8" x14ac:dyDescent="0.25">
      <c r="A70">
        <v>5.4993999999999996</v>
      </c>
      <c r="B70">
        <v>1.0173000000000001</v>
      </c>
      <c r="F70" s="29" t="s">
        <v>180</v>
      </c>
      <c r="G70" s="29" t="s">
        <v>182</v>
      </c>
      <c r="H70" s="29" t="s">
        <v>181</v>
      </c>
    </row>
    <row r="71" spans="1:8" x14ac:dyDescent="0.25">
      <c r="A71">
        <v>20.341000000000001</v>
      </c>
      <c r="B71">
        <v>20.992000000000001</v>
      </c>
      <c r="F71" s="27">
        <v>1</v>
      </c>
      <c r="G71" s="27">
        <v>3.3937739910509759</v>
      </c>
      <c r="H71" s="27">
        <v>14.198226008949023</v>
      </c>
    </row>
    <row r="72" spans="1:8" x14ac:dyDescent="0.25">
      <c r="A72">
        <v>10.135999999999999</v>
      </c>
      <c r="B72">
        <v>6.6798999999999999</v>
      </c>
      <c r="F72" s="27">
        <v>2</v>
      </c>
      <c r="G72" s="27">
        <v>2.6989511966749564</v>
      </c>
      <c r="H72" s="27">
        <v>6.4312488033250439</v>
      </c>
    </row>
    <row r="73" spans="1:8" x14ac:dyDescent="0.25">
      <c r="A73">
        <v>7.3345000000000002</v>
      </c>
      <c r="B73">
        <v>4.0259</v>
      </c>
      <c r="F73" s="27">
        <v>3</v>
      </c>
      <c r="G73" s="27">
        <v>6.2671955230816119</v>
      </c>
      <c r="H73" s="27">
        <v>7.3948044769183889</v>
      </c>
    </row>
    <row r="74" spans="1:8" x14ac:dyDescent="0.25">
      <c r="A74">
        <v>6.0061999999999998</v>
      </c>
      <c r="B74">
        <v>1.2784</v>
      </c>
      <c r="F74" s="27">
        <v>4</v>
      </c>
      <c r="G74" s="27">
        <v>4.4592723386767021</v>
      </c>
      <c r="H74" s="27">
        <v>7.3947276613232971</v>
      </c>
    </row>
    <row r="75" spans="1:8" x14ac:dyDescent="0.25">
      <c r="A75">
        <v>7.2259000000000002</v>
      </c>
      <c r="B75">
        <v>3.3411</v>
      </c>
      <c r="F75" s="27">
        <v>5</v>
      </c>
      <c r="G75" s="27">
        <v>3.0951576699103205</v>
      </c>
      <c r="H75" s="27">
        <v>3.7281423300896792</v>
      </c>
    </row>
    <row r="76" spans="1:8" x14ac:dyDescent="0.25">
      <c r="A76">
        <v>5.0269000000000004</v>
      </c>
      <c r="B76">
        <v>-2.6806999999999999</v>
      </c>
      <c r="F76" s="27">
        <v>6</v>
      </c>
      <c r="G76" s="27">
        <v>6.1053008575650844</v>
      </c>
      <c r="H76" s="27">
        <v>5.7806991424349148</v>
      </c>
    </row>
    <row r="77" spans="1:8" x14ac:dyDescent="0.25">
      <c r="A77">
        <v>6.5479000000000003</v>
      </c>
      <c r="B77">
        <v>0.29677999999999999</v>
      </c>
      <c r="F77" s="27">
        <v>7</v>
      </c>
      <c r="G77" s="27">
        <v>5.0238158591072173</v>
      </c>
      <c r="H77" s="27">
        <v>-0.67551585910721723</v>
      </c>
    </row>
    <row r="78" spans="1:8" x14ac:dyDescent="0.25">
      <c r="A78">
        <v>7.5385999999999997</v>
      </c>
      <c r="B78">
        <v>3.8845000000000001</v>
      </c>
      <c r="F78" s="27">
        <v>8</v>
      </c>
      <c r="G78" s="27">
        <v>6.3381810249108925</v>
      </c>
      <c r="H78" s="27">
        <v>5.6618189750891075</v>
      </c>
    </row>
    <row r="79" spans="1:8" x14ac:dyDescent="0.25">
      <c r="A79">
        <v>5.0365000000000002</v>
      </c>
      <c r="B79">
        <v>5.7013999999999996</v>
      </c>
      <c r="F79" s="27">
        <v>9</v>
      </c>
      <c r="G79" s="27">
        <v>3.8424739446306821</v>
      </c>
      <c r="H79" s="27">
        <v>2.7562260553693179</v>
      </c>
    </row>
    <row r="80" spans="1:8" x14ac:dyDescent="0.25">
      <c r="A80">
        <v>10.273999999999999</v>
      </c>
      <c r="B80">
        <v>6.7526000000000002</v>
      </c>
      <c r="F80" s="27">
        <v>10</v>
      </c>
      <c r="G80" s="27">
        <v>2.1345269796088591</v>
      </c>
      <c r="H80" s="27">
        <v>1.6820730203911411</v>
      </c>
    </row>
    <row r="81" spans="1:8" x14ac:dyDescent="0.25">
      <c r="A81">
        <v>5.1077000000000004</v>
      </c>
      <c r="B81">
        <v>2.0575999999999999</v>
      </c>
      <c r="F81" s="27">
        <v>11</v>
      </c>
      <c r="G81" s="27">
        <v>2.9172763535616522</v>
      </c>
      <c r="H81" s="27">
        <v>0.33492364643834804</v>
      </c>
    </row>
    <row r="82" spans="1:8" x14ac:dyDescent="0.25">
      <c r="A82">
        <v>5.7291999999999996</v>
      </c>
      <c r="B82">
        <v>0.47953000000000001</v>
      </c>
      <c r="F82" s="27">
        <v>12</v>
      </c>
      <c r="G82" s="27">
        <v>13.002347657989546</v>
      </c>
      <c r="H82" s="27">
        <v>2.5026523420104549</v>
      </c>
    </row>
    <row r="83" spans="1:8" x14ac:dyDescent="0.25">
      <c r="A83">
        <v>5.1883999999999997</v>
      </c>
      <c r="B83">
        <v>0.20421</v>
      </c>
      <c r="F83" s="27">
        <v>13</v>
      </c>
      <c r="G83" s="27">
        <v>2.9450740374712696</v>
      </c>
      <c r="H83" s="27">
        <v>0.2100259625287304</v>
      </c>
    </row>
    <row r="84" spans="1:8" x14ac:dyDescent="0.25">
      <c r="A84">
        <v>6.3556999999999997</v>
      </c>
      <c r="B84">
        <v>0.67861000000000005</v>
      </c>
      <c r="F84" s="27">
        <v>14</v>
      </c>
      <c r="G84" s="27">
        <v>6.1357232154919208</v>
      </c>
      <c r="H84" s="27">
        <v>1.0900767845080788</v>
      </c>
    </row>
    <row r="85" spans="1:8" x14ac:dyDescent="0.25">
      <c r="A85">
        <v>9.7687000000000008</v>
      </c>
      <c r="B85">
        <v>7.5434999999999999</v>
      </c>
      <c r="F85" s="27">
        <v>15</v>
      </c>
      <c r="G85" s="27">
        <v>2.8337639984683802</v>
      </c>
      <c r="H85" s="27">
        <v>-2.1175839984683802</v>
      </c>
    </row>
    <row r="86" spans="1:8" x14ac:dyDescent="0.25">
      <c r="A86">
        <v>6.5159000000000002</v>
      </c>
      <c r="B86">
        <v>5.3436000000000003</v>
      </c>
      <c r="F86" s="27">
        <v>16</v>
      </c>
      <c r="G86" s="27">
        <v>2.5220243072416402</v>
      </c>
      <c r="H86" s="27">
        <v>0.99087569275835996</v>
      </c>
    </row>
    <row r="87" spans="1:8" x14ac:dyDescent="0.25">
      <c r="A87">
        <v>8.5172000000000008</v>
      </c>
      <c r="B87">
        <v>4.2415000000000003</v>
      </c>
      <c r="F87" s="27">
        <v>17</v>
      </c>
      <c r="G87" s="27">
        <v>3.6983554804125793</v>
      </c>
      <c r="H87" s="27">
        <v>1.6064445195874208</v>
      </c>
    </row>
    <row r="88" spans="1:8" x14ac:dyDescent="0.25">
      <c r="A88">
        <v>9.1801999999999992</v>
      </c>
      <c r="B88">
        <v>6.7980999999999998</v>
      </c>
      <c r="F88" s="27">
        <v>18</v>
      </c>
      <c r="G88" s="27">
        <v>2.2246010197451733</v>
      </c>
      <c r="H88" s="27">
        <v>-1.6638310197451733</v>
      </c>
    </row>
    <row r="89" spans="1:8" x14ac:dyDescent="0.25">
      <c r="A89">
        <v>6.0019999999999998</v>
      </c>
      <c r="B89">
        <v>0.92695000000000005</v>
      </c>
      <c r="F89" s="27">
        <v>19</v>
      </c>
      <c r="G89" s="27">
        <v>3.7749482403695511</v>
      </c>
      <c r="H89" s="27">
        <v>-0.12314824036955097</v>
      </c>
    </row>
    <row r="90" spans="1:8" x14ac:dyDescent="0.25">
      <c r="A90">
        <v>5.5204000000000004</v>
      </c>
      <c r="B90">
        <v>0.152</v>
      </c>
      <c r="F90" s="27">
        <v>20</v>
      </c>
      <c r="G90" s="27">
        <v>4.5399214130239196</v>
      </c>
      <c r="H90" s="27">
        <v>0.84937858697608082</v>
      </c>
    </row>
    <row r="91" spans="1:8" x14ac:dyDescent="0.25">
      <c r="A91">
        <v>5.0594000000000001</v>
      </c>
      <c r="B91">
        <v>2.8214000000000001</v>
      </c>
      <c r="F91" s="27">
        <v>21</v>
      </c>
      <c r="G91" s="27">
        <v>3.4880236489419536</v>
      </c>
      <c r="H91" s="27">
        <v>-0.34942364894195377</v>
      </c>
    </row>
    <row r="92" spans="1:8" x14ac:dyDescent="0.25">
      <c r="A92">
        <v>5.7077</v>
      </c>
      <c r="B92">
        <v>1.8451</v>
      </c>
      <c r="F92" s="27">
        <v>22</v>
      </c>
      <c r="G92" s="27">
        <v>20.287011089411209</v>
      </c>
      <c r="H92" s="27">
        <v>1.4799889105887907</v>
      </c>
    </row>
    <row r="93" spans="1:8" x14ac:dyDescent="0.25">
      <c r="A93">
        <v>7.6365999999999996</v>
      </c>
      <c r="B93">
        <v>4.2958999999999996</v>
      </c>
      <c r="F93" s="27">
        <v>23</v>
      </c>
      <c r="G93" s="27">
        <v>2.6540931316534273</v>
      </c>
      <c r="H93" s="27">
        <v>1.6089068683465726</v>
      </c>
    </row>
    <row r="94" spans="1:8" x14ac:dyDescent="0.25">
      <c r="A94">
        <v>5.8707000000000003</v>
      </c>
      <c r="B94">
        <v>7.2028999999999996</v>
      </c>
      <c r="F94" s="27">
        <v>24</v>
      </c>
      <c r="G94" s="27">
        <v>3.6514692581959283</v>
      </c>
      <c r="H94" s="27">
        <v>1.5360307418040717</v>
      </c>
    </row>
    <row r="95" spans="1:8" x14ac:dyDescent="0.25">
      <c r="A95">
        <v>5.3053999999999997</v>
      </c>
      <c r="B95">
        <v>1.9869000000000001</v>
      </c>
      <c r="F95" s="27">
        <v>25</v>
      </c>
      <c r="G95" s="27">
        <v>2.7433320482388091</v>
      </c>
      <c r="H95" s="27">
        <v>0.33916795176119097</v>
      </c>
    </row>
    <row r="96" spans="1:8" x14ac:dyDescent="0.25">
      <c r="A96">
        <v>8.2934000000000001</v>
      </c>
      <c r="B96">
        <v>0.14454</v>
      </c>
      <c r="F96" s="27">
        <v>26</v>
      </c>
      <c r="G96" s="27">
        <v>18.706241510859996</v>
      </c>
      <c r="H96" s="27">
        <v>3.9317584891400053</v>
      </c>
    </row>
    <row r="97" spans="1:8" x14ac:dyDescent="0.25">
      <c r="A97">
        <v>13.394</v>
      </c>
      <c r="B97">
        <v>9.0550999999999995</v>
      </c>
      <c r="F97" s="27">
        <v>27</v>
      </c>
      <c r="G97" s="27">
        <v>11.408454709352249</v>
      </c>
      <c r="H97" s="27">
        <v>2.0925452906477506</v>
      </c>
    </row>
    <row r="98" spans="1:8" x14ac:dyDescent="0.25">
      <c r="A98">
        <v>5.4368999999999996</v>
      </c>
      <c r="B98">
        <v>0.61704999999999999</v>
      </c>
      <c r="F98" s="27">
        <v>28</v>
      </c>
      <c r="G98" s="27">
        <v>9.1762887610735184</v>
      </c>
      <c r="H98" s="27">
        <v>-2.129588761073518</v>
      </c>
    </row>
    <row r="99" spans="1:8" x14ac:dyDescent="0.25">
      <c r="F99" s="27">
        <v>29</v>
      </c>
      <c r="G99" s="27">
        <v>11.823630417530229</v>
      </c>
      <c r="H99" s="27">
        <v>2.8683695824697715</v>
      </c>
    </row>
    <row r="100" spans="1:8" x14ac:dyDescent="0.25">
      <c r="F100" s="27">
        <v>30</v>
      </c>
      <c r="G100" s="27">
        <v>22.593145123629693</v>
      </c>
      <c r="H100" s="27">
        <v>1.5538548763703055</v>
      </c>
    </row>
    <row r="101" spans="1:8" x14ac:dyDescent="0.25">
      <c r="F101" s="27">
        <v>31</v>
      </c>
      <c r="G101" s="27">
        <v>2.3705090344295607</v>
      </c>
      <c r="H101" s="27">
        <v>-3.5905090344295605</v>
      </c>
    </row>
    <row r="102" spans="1:8" x14ac:dyDescent="0.25">
      <c r="F102" s="27">
        <v>32</v>
      </c>
      <c r="G102" s="27">
        <v>3.965595016711049</v>
      </c>
      <c r="H102" s="27">
        <v>2.031004983288951</v>
      </c>
    </row>
    <row r="103" spans="1:8" x14ac:dyDescent="0.25">
      <c r="F103" s="27">
        <v>33</v>
      </c>
      <c r="G103" s="27">
        <v>7.1376328698823412</v>
      </c>
      <c r="H103" s="27">
        <v>4.9963671301176591</v>
      </c>
    </row>
    <row r="104" spans="1:8" x14ac:dyDescent="0.25">
      <c r="F104" s="27">
        <v>34</v>
      </c>
      <c r="G104" s="27">
        <v>3.1333347465243877</v>
      </c>
      <c r="H104" s="27">
        <v>-1.2838347465243878</v>
      </c>
    </row>
    <row r="105" spans="1:8" x14ac:dyDescent="0.25">
      <c r="F105" s="27">
        <v>35</v>
      </c>
      <c r="G105" s="27">
        <v>5.9003376774933125</v>
      </c>
      <c r="H105" s="27">
        <v>0.64226232250668769</v>
      </c>
    </row>
    <row r="106" spans="1:8" x14ac:dyDescent="0.25">
      <c r="F106" s="27">
        <v>36</v>
      </c>
      <c r="G106" s="27">
        <v>5.5690322345018624</v>
      </c>
      <c r="H106" s="27">
        <v>-1.0067322345018628</v>
      </c>
    </row>
    <row r="107" spans="1:8" x14ac:dyDescent="0.25">
      <c r="F107" s="27">
        <v>37</v>
      </c>
      <c r="G107" s="27">
        <v>5.7629002016826716</v>
      </c>
      <c r="H107" s="27">
        <v>-1.646500201682672</v>
      </c>
    </row>
    <row r="108" spans="1:8" x14ac:dyDescent="0.25">
      <c r="F108" s="27">
        <v>38</v>
      </c>
      <c r="G108" s="27">
        <v>2.7927236411082585</v>
      </c>
      <c r="H108" s="27">
        <v>0.60007635889174127</v>
      </c>
    </row>
    <row r="109" spans="1:8" x14ac:dyDescent="0.25">
      <c r="F109" s="27">
        <v>39</v>
      </c>
      <c r="G109" s="27">
        <v>11.417998978505764</v>
      </c>
      <c r="H109" s="27">
        <v>-1.3009989785057634</v>
      </c>
    </row>
    <row r="110" spans="1:8" x14ac:dyDescent="0.25">
      <c r="F110" s="27">
        <v>40</v>
      </c>
      <c r="G110" s="27">
        <v>3.6840390766823035</v>
      </c>
      <c r="H110" s="27">
        <v>1.8133609233176964</v>
      </c>
    </row>
    <row r="111" spans="1:8" x14ac:dyDescent="0.25">
      <c r="F111" s="27">
        <v>41</v>
      </c>
      <c r="G111" s="27">
        <v>2.5548327324568536</v>
      </c>
      <c r="H111" s="27">
        <v>-1.9982627324568536</v>
      </c>
    </row>
    <row r="112" spans="1:8" x14ac:dyDescent="0.25">
      <c r="F112" s="27">
        <v>42</v>
      </c>
      <c r="G112" s="27">
        <v>4.3152731778230189</v>
      </c>
      <c r="H112" s="27">
        <v>-0.40377317782301869</v>
      </c>
    </row>
    <row r="113" spans="6:8" x14ac:dyDescent="0.25">
      <c r="F113" s="27">
        <v>43</v>
      </c>
      <c r="G113" s="27">
        <v>10.072257027859905</v>
      </c>
      <c r="H113" s="27">
        <v>-4.6868570278599053</v>
      </c>
    </row>
    <row r="114" spans="6:8" x14ac:dyDescent="0.25">
      <c r="F114" s="27">
        <v>44</v>
      </c>
      <c r="G114" s="27">
        <v>2.9924374731455963</v>
      </c>
      <c r="H114" s="27">
        <v>-0.55183747314559639</v>
      </c>
    </row>
    <row r="115" spans="6:8" x14ac:dyDescent="0.25">
      <c r="F115" s="27">
        <v>45</v>
      </c>
      <c r="G115" s="27">
        <v>5.4393494773784541</v>
      </c>
      <c r="H115" s="27">
        <v>1.2924505226215457</v>
      </c>
    </row>
    <row r="116" spans="6:8" x14ac:dyDescent="0.25">
      <c r="F116" s="27">
        <v>46</v>
      </c>
      <c r="G116" s="27">
        <v>4.5665260632893458</v>
      </c>
      <c r="H116" s="27">
        <v>-3.5202260632893458</v>
      </c>
    </row>
    <row r="117" spans="6:8" x14ac:dyDescent="0.25">
      <c r="F117" s="27">
        <v>47</v>
      </c>
      <c r="G117" s="27">
        <v>2.1531383044582171</v>
      </c>
      <c r="H117" s="27">
        <v>2.9805616955417831</v>
      </c>
    </row>
    <row r="118" spans="6:8" x14ac:dyDescent="0.25">
      <c r="F118" s="27">
        <v>48</v>
      </c>
      <c r="G118" s="27">
        <v>3.0254845050896488</v>
      </c>
      <c r="H118" s="27">
        <v>-1.1814845050896488</v>
      </c>
    </row>
    <row r="119" spans="6:8" x14ac:dyDescent="0.25">
      <c r="F119" s="27">
        <v>49</v>
      </c>
      <c r="G119" s="27">
        <v>10.062712758706386</v>
      </c>
      <c r="H119" s="27">
        <v>-2.0584127587063854</v>
      </c>
    </row>
    <row r="120" spans="6:8" x14ac:dyDescent="0.25">
      <c r="F120" s="27">
        <v>50</v>
      </c>
      <c r="G120" s="27">
        <v>2.7155343643291916</v>
      </c>
      <c r="H120" s="27">
        <v>-1.6976343643291916</v>
      </c>
    </row>
    <row r="121" spans="6:8" x14ac:dyDescent="0.25">
      <c r="F121" s="27">
        <v>51</v>
      </c>
      <c r="G121" s="27">
        <v>5.0999314056065144</v>
      </c>
      <c r="H121" s="27">
        <v>1.6504685943934856</v>
      </c>
    </row>
    <row r="122" spans="6:8" x14ac:dyDescent="0.25">
      <c r="F122" s="27">
        <v>52</v>
      </c>
      <c r="G122" s="27">
        <v>2.4364837949532454</v>
      </c>
      <c r="H122" s="27">
        <v>-0.59688379495324551</v>
      </c>
    </row>
    <row r="123" spans="6:8" x14ac:dyDescent="0.25">
      <c r="F123" s="27">
        <v>53</v>
      </c>
      <c r="G123" s="27">
        <v>4.9611815927872636</v>
      </c>
      <c r="H123" s="27">
        <v>-0.67268159278726358</v>
      </c>
    </row>
    <row r="124" spans="6:8" x14ac:dyDescent="0.25">
      <c r="F124" s="27">
        <v>54</v>
      </c>
      <c r="G124" s="27">
        <v>5.1749732218260407</v>
      </c>
      <c r="H124" s="27">
        <v>-0.17687322182604071</v>
      </c>
    </row>
    <row r="125" spans="6:8" x14ac:dyDescent="0.25">
      <c r="F125" s="27">
        <v>55</v>
      </c>
      <c r="G125" s="27">
        <v>3.6594625836119983</v>
      </c>
      <c r="H125" s="27">
        <v>-2.236162583611998</v>
      </c>
    </row>
    <row r="126" spans="6:8" x14ac:dyDescent="0.25">
      <c r="F126" s="27">
        <v>56</v>
      </c>
      <c r="G126" s="27">
        <v>3.6906007617253476</v>
      </c>
      <c r="H126" s="27">
        <v>-5.1117007617253476</v>
      </c>
    </row>
    <row r="127" spans="6:8" x14ac:dyDescent="0.25">
      <c r="F127" s="27">
        <v>57</v>
      </c>
      <c r="G127" s="27">
        <v>3.5895508120624893</v>
      </c>
      <c r="H127" s="27">
        <v>-1.1139508120624892</v>
      </c>
    </row>
    <row r="128" spans="6:8" x14ac:dyDescent="0.25">
      <c r="F128" s="27">
        <v>58</v>
      </c>
      <c r="G128" s="27">
        <v>2.8325709648241917</v>
      </c>
      <c r="H128" s="27">
        <v>1.7716290351758079</v>
      </c>
    </row>
    <row r="129" spans="6:8" x14ac:dyDescent="0.25">
      <c r="F129" s="27">
        <v>59</v>
      </c>
      <c r="G129" s="27">
        <v>7.211600955822095</v>
      </c>
      <c r="H129" s="27">
        <v>-3.2492009558220949</v>
      </c>
    </row>
    <row r="130" spans="6:8" x14ac:dyDescent="0.25">
      <c r="F130" s="27">
        <v>60</v>
      </c>
      <c r="G130" s="27">
        <v>7.3826819803988828</v>
      </c>
      <c r="H130" s="27">
        <v>-1.9685819803988824</v>
      </c>
    </row>
    <row r="131" spans="6:8" x14ac:dyDescent="0.25">
      <c r="F131" s="27">
        <v>61</v>
      </c>
      <c r="G131" s="27">
        <v>6.6332182451189796</v>
      </c>
      <c r="H131" s="27">
        <v>-1.4638182451189792</v>
      </c>
    </row>
    <row r="132" spans="6:8" x14ac:dyDescent="0.25">
      <c r="F132" s="27">
        <v>62</v>
      </c>
      <c r="G132" s="27">
        <v>2.2832982750393018</v>
      </c>
      <c r="H132" s="27">
        <v>-3.0260882750393017</v>
      </c>
    </row>
    <row r="133" spans="6:8" x14ac:dyDescent="0.25">
      <c r="F133" s="27">
        <v>63</v>
      </c>
      <c r="G133" s="27">
        <v>21.490782036398507</v>
      </c>
      <c r="H133" s="27">
        <v>-3.5617820363985082</v>
      </c>
    </row>
    <row r="134" spans="6:8" x14ac:dyDescent="0.25">
      <c r="F134" s="27">
        <v>64</v>
      </c>
      <c r="G134" s="27">
        <v>13.889964689266606</v>
      </c>
      <c r="H134" s="27">
        <v>-1.8359646892666053</v>
      </c>
    </row>
    <row r="135" spans="6:8" x14ac:dyDescent="0.25">
      <c r="F135" s="27">
        <v>65</v>
      </c>
      <c r="G135" s="27">
        <v>18.72294398187865</v>
      </c>
      <c r="H135" s="27">
        <v>-1.6689439818786518</v>
      </c>
    </row>
    <row r="136" spans="6:8" x14ac:dyDescent="0.25">
      <c r="F136" s="27">
        <v>66</v>
      </c>
      <c r="G136" s="27">
        <v>4.7157745721774651</v>
      </c>
      <c r="H136" s="27">
        <v>0.16942542782253511</v>
      </c>
    </row>
    <row r="137" spans="6:8" x14ac:dyDescent="0.25">
      <c r="F137" s="27">
        <v>67</v>
      </c>
      <c r="G137" s="27">
        <v>6.0005525036052392</v>
      </c>
      <c r="H137" s="27">
        <v>-0.25635250360523898</v>
      </c>
    </row>
    <row r="138" spans="6:8" x14ac:dyDescent="0.25">
      <c r="F138" s="27">
        <v>68</v>
      </c>
      <c r="G138" s="27">
        <v>8.3161115036128237</v>
      </c>
      <c r="H138" s="27">
        <v>-0.54071150361282339</v>
      </c>
    </row>
    <row r="139" spans="6:8" x14ac:dyDescent="0.25">
      <c r="F139" s="27">
        <v>69</v>
      </c>
      <c r="G139" s="27">
        <v>2.6651883445443909</v>
      </c>
      <c r="H139" s="27">
        <v>-1.6478883445443908</v>
      </c>
    </row>
    <row r="140" spans="6:8" x14ac:dyDescent="0.25">
      <c r="F140" s="27">
        <v>70</v>
      </c>
      <c r="G140" s="27">
        <v>20.37171647814867</v>
      </c>
      <c r="H140" s="27">
        <v>0.62028352185133073</v>
      </c>
    </row>
    <row r="141" spans="6:8" x14ac:dyDescent="0.25">
      <c r="F141" s="27">
        <v>71</v>
      </c>
      <c r="G141" s="27">
        <v>8.1968081391938625</v>
      </c>
      <c r="H141" s="27">
        <v>-1.5169081391938626</v>
      </c>
    </row>
    <row r="142" spans="6:8" x14ac:dyDescent="0.25">
      <c r="F142" s="27">
        <v>72</v>
      </c>
      <c r="G142" s="27">
        <v>4.8545243849967159</v>
      </c>
      <c r="H142" s="27">
        <v>-0.82862438499671587</v>
      </c>
    </row>
    <row r="143" spans="6:8" x14ac:dyDescent="0.25">
      <c r="F143" s="27">
        <v>73</v>
      </c>
      <c r="G143" s="27">
        <v>3.2698177954196765</v>
      </c>
      <c r="H143" s="27">
        <v>-1.9914177954196766</v>
      </c>
    </row>
    <row r="144" spans="6:8" x14ac:dyDescent="0.25">
      <c r="F144" s="27">
        <v>74</v>
      </c>
      <c r="G144" s="27">
        <v>4.7249609312377254</v>
      </c>
      <c r="H144" s="27">
        <v>-1.3838609312377255</v>
      </c>
    </row>
    <row r="145" spans="6:8" x14ac:dyDescent="0.25">
      <c r="F145" s="27">
        <v>75</v>
      </c>
      <c r="G145" s="27">
        <v>2.1014799476648083</v>
      </c>
      <c r="H145" s="27">
        <v>-4.7821799476648081</v>
      </c>
    </row>
    <row r="146" spans="6:8" x14ac:dyDescent="0.25">
      <c r="F146" s="27">
        <v>76</v>
      </c>
      <c r="G146" s="27">
        <v>3.9160841204771808</v>
      </c>
      <c r="H146" s="27">
        <v>-3.6193041204771808</v>
      </c>
    </row>
    <row r="147" spans="6:8" x14ac:dyDescent="0.25">
      <c r="F147" s="27">
        <v>77</v>
      </c>
      <c r="G147" s="27">
        <v>5.0980225517758102</v>
      </c>
      <c r="H147" s="27">
        <v>-1.2135225517758101</v>
      </c>
    </row>
    <row r="148" spans="6:8" x14ac:dyDescent="0.25">
      <c r="F148" s="27">
        <v>78</v>
      </c>
      <c r="G148" s="27">
        <v>2.1129330706490279</v>
      </c>
      <c r="H148" s="27">
        <v>3.5884669293509717</v>
      </c>
    </row>
    <row r="149" spans="6:8" x14ac:dyDescent="0.25">
      <c r="F149" s="27">
        <v>79</v>
      </c>
      <c r="G149" s="27">
        <v>8.361446782092024</v>
      </c>
      <c r="H149" s="27">
        <v>-1.6088467820920238</v>
      </c>
    </row>
    <row r="150" spans="6:8" x14ac:dyDescent="0.25">
      <c r="F150" s="27">
        <v>80</v>
      </c>
      <c r="G150" s="27">
        <v>2.1978770661153275</v>
      </c>
      <c r="H150" s="27">
        <v>-0.14027706611532764</v>
      </c>
    </row>
    <row r="151" spans="6:8" x14ac:dyDescent="0.25">
      <c r="F151" s="27">
        <v>81</v>
      </c>
      <c r="G151" s="27">
        <v>2.9393474759791589</v>
      </c>
      <c r="H151" s="27">
        <v>-2.4598174759791589</v>
      </c>
    </row>
    <row r="152" spans="6:8" x14ac:dyDescent="0.25">
      <c r="F152" s="27">
        <v>82</v>
      </c>
      <c r="G152" s="27">
        <v>2.2941548812014272</v>
      </c>
      <c r="H152" s="27">
        <v>-2.0899448812014274</v>
      </c>
    </row>
    <row r="153" spans="6:8" x14ac:dyDescent="0.25">
      <c r="F153" s="27">
        <v>83</v>
      </c>
      <c r="G153" s="27">
        <v>3.6867830540639401</v>
      </c>
      <c r="H153" s="27">
        <v>-3.0081730540639402</v>
      </c>
    </row>
    <row r="154" spans="6:8" x14ac:dyDescent="0.25">
      <c r="F154" s="27">
        <v>84</v>
      </c>
      <c r="G154" s="27">
        <v>7.7586068816830247</v>
      </c>
      <c r="H154" s="27">
        <v>-0.21510688168302483</v>
      </c>
    </row>
    <row r="155" spans="6:8" x14ac:dyDescent="0.25">
      <c r="F155" s="27">
        <v>85</v>
      </c>
      <c r="G155" s="27">
        <v>3.8779070438631136</v>
      </c>
      <c r="H155" s="27">
        <v>1.4656929561368868</v>
      </c>
    </row>
    <row r="156" spans="6:8" x14ac:dyDescent="0.25">
      <c r="F156" s="27">
        <v>86</v>
      </c>
      <c r="G156" s="27">
        <v>6.2655252759797486</v>
      </c>
      <c r="H156" s="27">
        <v>-2.0240252759797484</v>
      </c>
    </row>
    <row r="157" spans="6:8" x14ac:dyDescent="0.25">
      <c r="F157" s="27">
        <v>87</v>
      </c>
      <c r="G157" s="27">
        <v>7.0565065820774473</v>
      </c>
      <c r="H157" s="27">
        <v>-0.25840658207744749</v>
      </c>
    </row>
    <row r="158" spans="6:8" x14ac:dyDescent="0.25">
      <c r="F158" s="27">
        <v>88</v>
      </c>
      <c r="G158" s="27">
        <v>3.2648070541140806</v>
      </c>
      <c r="H158" s="27">
        <v>-2.3378570541140804</v>
      </c>
    </row>
    <row r="159" spans="6:8" x14ac:dyDescent="0.25">
      <c r="F159" s="27">
        <v>89</v>
      </c>
      <c r="G159" s="27">
        <v>2.6902420510723726</v>
      </c>
      <c r="H159" s="27">
        <v>-2.5382420510723724</v>
      </c>
    </row>
    <row r="160" spans="6:8" x14ac:dyDescent="0.25">
      <c r="F160" s="27">
        <v>90</v>
      </c>
      <c r="G160" s="27">
        <v>2.1402535411009698</v>
      </c>
      <c r="H160" s="27">
        <v>0.68114645889903036</v>
      </c>
    </row>
    <row r="161" spans="6:8" x14ac:dyDescent="0.25">
      <c r="F161" s="27">
        <v>91</v>
      </c>
      <c r="G161" s="27">
        <v>2.913697252629083</v>
      </c>
      <c r="H161" s="27">
        <v>-1.068597252629083</v>
      </c>
    </row>
    <row r="162" spans="6:8" x14ac:dyDescent="0.25">
      <c r="F162" s="27">
        <v>92</v>
      </c>
      <c r="G162" s="27">
        <v>5.2149398489063907</v>
      </c>
      <c r="H162" s="27">
        <v>-0.91903984890639112</v>
      </c>
    </row>
    <row r="163" spans="6:8" x14ac:dyDescent="0.25">
      <c r="F163" s="27">
        <v>93</v>
      </c>
      <c r="G163" s="27">
        <v>3.1081617366319874</v>
      </c>
      <c r="H163" s="27">
        <v>4.0947382633680123</v>
      </c>
    </row>
    <row r="164" spans="6:8" x14ac:dyDescent="0.25">
      <c r="F164" s="27">
        <v>94</v>
      </c>
      <c r="G164" s="27">
        <v>2.4337398175716096</v>
      </c>
      <c r="H164" s="27">
        <v>-0.44683981757160951</v>
      </c>
    </row>
    <row r="165" spans="6:8" x14ac:dyDescent="0.25">
      <c r="F165" s="27">
        <v>95</v>
      </c>
      <c r="G165" s="27">
        <v>5.9985243464101172</v>
      </c>
      <c r="H165" s="27">
        <v>-5.8539843464101171</v>
      </c>
    </row>
    <row r="166" spans="6:8" x14ac:dyDescent="0.25">
      <c r="F166" s="27">
        <v>96</v>
      </c>
      <c r="G166" s="27">
        <v>12.083711751963559</v>
      </c>
      <c r="H166" s="27">
        <v>-3.0286117519635596</v>
      </c>
    </row>
    <row r="167" spans="6:8" ht="13.8" thickBot="1" x14ac:dyDescent="0.3">
      <c r="F167" s="28">
        <v>97</v>
      </c>
      <c r="G167" s="28">
        <v>2.5906237417825411</v>
      </c>
      <c r="H167" s="28">
        <v>-1.9735737417825412</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7"/>
  </sheetPr>
  <dimension ref="A2:S35"/>
  <sheetViews>
    <sheetView rightToLeft="1" tabSelected="1" workbookViewId="0">
      <selection activeCell="J4" sqref="J4"/>
    </sheetView>
  </sheetViews>
  <sheetFormatPr defaultRowHeight="13.2" x14ac:dyDescent="0.25"/>
  <cols>
    <col min="1" max="1" width="8" bestFit="1" customWidth="1"/>
    <col min="2" max="2" width="10.21875" bestFit="1" customWidth="1"/>
    <col min="3" max="3" width="9.5546875" bestFit="1" customWidth="1"/>
    <col min="4" max="4" width="10.21875" bestFit="1" customWidth="1"/>
    <col min="9" max="9" width="11.77734375" bestFit="1" customWidth="1"/>
    <col min="11" max="11" width="10.21875" bestFit="1" customWidth="1"/>
    <col min="13" max="13" width="9.44140625" bestFit="1" customWidth="1"/>
    <col min="14" max="14" width="5.21875" bestFit="1" customWidth="1"/>
    <col min="15" max="31" width="12.77734375" bestFit="1" customWidth="1"/>
    <col min="32" max="33" width="8.21875" bestFit="1" customWidth="1"/>
  </cols>
  <sheetData>
    <row r="2" spans="1:19" ht="13.8" thickBot="1" x14ac:dyDescent="0.3"/>
    <row r="3" spans="1:19" x14ac:dyDescent="0.25">
      <c r="A3" s="11" t="s">
        <v>89</v>
      </c>
      <c r="B3" s="11" t="s">
        <v>2</v>
      </c>
      <c r="C3" s="11" t="s">
        <v>87</v>
      </c>
      <c r="D3" s="11" t="s">
        <v>88</v>
      </c>
      <c r="I3" s="17" t="s">
        <v>123</v>
      </c>
      <c r="J3" s="24" t="s">
        <v>87</v>
      </c>
      <c r="K3" s="18" t="s">
        <v>88</v>
      </c>
      <c r="L3" s="25"/>
      <c r="M3" s="25" t="s">
        <v>183</v>
      </c>
      <c r="N3">
        <v>0</v>
      </c>
      <c r="O3">
        <v>30</v>
      </c>
      <c r="P3">
        <v>60</v>
      </c>
      <c r="Q3">
        <v>80</v>
      </c>
      <c r="R3">
        <v>90</v>
      </c>
      <c r="S3">
        <v>100</v>
      </c>
    </row>
    <row r="4" spans="1:19" x14ac:dyDescent="0.25">
      <c r="A4" s="25" t="s">
        <v>90</v>
      </c>
      <c r="B4" t="s">
        <v>37</v>
      </c>
      <c r="C4" s="1" t="s">
        <v>109</v>
      </c>
      <c r="D4" s="21">
        <v>23.141876709547326</v>
      </c>
      <c r="H4" s="20"/>
      <c r="I4" s="15" t="str">
        <f>A4 &amp; " " &amp; B4</f>
        <v>יוני צנעני</v>
      </c>
      <c r="J4" s="2" t="str">
        <f>IF(ISNUMBER(C4),C4,LEFT(C4,FIND("-",(C4))-1))</f>
        <v>1354</v>
      </c>
      <c r="K4" s="16">
        <f>ROUNDUP(D4,0)</f>
        <v>24</v>
      </c>
    </row>
    <row r="5" spans="1:19" x14ac:dyDescent="0.25">
      <c r="A5" t="s">
        <v>91</v>
      </c>
      <c r="B5" t="s">
        <v>38</v>
      </c>
      <c r="C5" s="1">
        <v>1534</v>
      </c>
      <c r="D5" s="21">
        <v>19.538041898361058</v>
      </c>
      <c r="I5" s="15" t="str">
        <f t="shared" ref="I5:I23" si="0">A5 &amp; " " &amp; B5</f>
        <v>שרית סופרנו</v>
      </c>
      <c r="J5" s="2">
        <f t="shared" ref="J5:J23" si="1">IF(ISNUMBER(C5),C5,LEFT(C5,FIND("-",(C5))-1))</f>
        <v>1534</v>
      </c>
      <c r="K5" s="16">
        <f t="shared" ref="K5:K23" si="2">ROUNDUP(D5,0)</f>
        <v>20</v>
      </c>
    </row>
    <row r="6" spans="1:19" x14ac:dyDescent="0.25">
      <c r="A6" t="s">
        <v>92</v>
      </c>
      <c r="B6" t="s">
        <v>39</v>
      </c>
      <c r="C6" s="1" t="s">
        <v>110</v>
      </c>
      <c r="D6" s="21">
        <v>83.099044423223773</v>
      </c>
      <c r="I6" s="15" t="str">
        <f t="shared" si="0"/>
        <v>עידו בלפונטה</v>
      </c>
      <c r="J6" s="2" t="str">
        <f t="shared" si="1"/>
        <v>153488</v>
      </c>
      <c r="K6" s="16">
        <f t="shared" si="2"/>
        <v>84</v>
      </c>
    </row>
    <row r="7" spans="1:19" x14ac:dyDescent="0.25">
      <c r="A7" t="s">
        <v>93</v>
      </c>
      <c r="B7" t="s">
        <v>40</v>
      </c>
      <c r="C7" s="1" t="s">
        <v>111</v>
      </c>
      <c r="D7" s="21">
        <v>96.549447675550354</v>
      </c>
      <c r="I7" s="15" t="str">
        <f t="shared" si="0"/>
        <v>ורד פלנדרס</v>
      </c>
      <c r="J7" s="2" t="str">
        <f t="shared" si="1"/>
        <v>384</v>
      </c>
      <c r="K7" s="16">
        <f t="shared" si="2"/>
        <v>97</v>
      </c>
    </row>
    <row r="8" spans="1:19" x14ac:dyDescent="0.25">
      <c r="A8" t="s">
        <v>94</v>
      </c>
      <c r="B8" t="s">
        <v>41</v>
      </c>
      <c r="C8" s="1" t="s">
        <v>112</v>
      </c>
      <c r="D8" s="21">
        <v>33.393873817123286</v>
      </c>
      <c r="I8" s="15" t="str">
        <f t="shared" si="0"/>
        <v>ענת קדמוני</v>
      </c>
      <c r="J8" s="2" t="str">
        <f t="shared" si="1"/>
        <v>4687</v>
      </c>
      <c r="K8" s="16">
        <f t="shared" si="2"/>
        <v>34</v>
      </c>
    </row>
    <row r="9" spans="1:19" x14ac:dyDescent="0.25">
      <c r="A9" t="s">
        <v>95</v>
      </c>
      <c r="B9" t="s">
        <v>42</v>
      </c>
      <c r="C9" s="1" t="s">
        <v>108</v>
      </c>
      <c r="D9" s="21">
        <v>45.96</v>
      </c>
      <c r="I9" s="15" t="str">
        <f t="shared" si="0"/>
        <v>מיכאל סופר-על</v>
      </c>
      <c r="J9" s="2" t="str">
        <f t="shared" si="1"/>
        <v>957</v>
      </c>
      <c r="K9" s="16">
        <f t="shared" si="2"/>
        <v>46</v>
      </c>
    </row>
    <row r="10" spans="1:19" x14ac:dyDescent="0.25">
      <c r="A10" t="s">
        <v>96</v>
      </c>
      <c r="B10" t="s">
        <v>43</v>
      </c>
      <c r="C10" s="1">
        <v>659766</v>
      </c>
      <c r="D10" s="21">
        <v>22.045991126526985</v>
      </c>
      <c r="I10" s="15" t="str">
        <f t="shared" si="0"/>
        <v>איתמר כהן</v>
      </c>
      <c r="J10" s="2">
        <f t="shared" si="1"/>
        <v>659766</v>
      </c>
      <c r="K10" s="16">
        <f t="shared" si="2"/>
        <v>23</v>
      </c>
    </row>
    <row r="11" spans="1:19" x14ac:dyDescent="0.25">
      <c r="A11" t="s">
        <v>53</v>
      </c>
      <c r="B11" t="s">
        <v>45</v>
      </c>
      <c r="C11" s="1" t="s">
        <v>113</v>
      </c>
      <c r="D11" s="21">
        <v>21.913017391334733</v>
      </c>
      <c r="I11" s="15" t="str">
        <f t="shared" si="0"/>
        <v>עידן ארדיטי</v>
      </c>
      <c r="J11" s="2" t="str">
        <f t="shared" si="1"/>
        <v>6873</v>
      </c>
      <c r="K11" s="16">
        <f t="shared" si="2"/>
        <v>22</v>
      </c>
    </row>
    <row r="12" spans="1:19" x14ac:dyDescent="0.25">
      <c r="A12" t="s">
        <v>97</v>
      </c>
      <c r="B12" t="s">
        <v>46</v>
      </c>
      <c r="C12" s="1" t="s">
        <v>114</v>
      </c>
      <c r="D12" s="21">
        <v>32.784921030886416</v>
      </c>
      <c r="I12" s="15" t="str">
        <f t="shared" si="0"/>
        <v>יואל עינב</v>
      </c>
      <c r="J12" s="2" t="str">
        <f t="shared" si="1"/>
        <v>49876</v>
      </c>
      <c r="K12" s="16">
        <f t="shared" si="2"/>
        <v>33</v>
      </c>
    </row>
    <row r="13" spans="1:19" x14ac:dyDescent="0.25">
      <c r="A13" t="s">
        <v>98</v>
      </c>
      <c r="B13" t="s">
        <v>47</v>
      </c>
      <c r="C13" s="1" t="s">
        <v>115</v>
      </c>
      <c r="D13" s="21">
        <v>90.360094746677547</v>
      </c>
      <c r="I13" s="15" t="str">
        <f t="shared" si="0"/>
        <v>משה הקיסרים</v>
      </c>
      <c r="J13" s="2" t="str">
        <f t="shared" si="1"/>
        <v>321</v>
      </c>
      <c r="K13" s="16">
        <f t="shared" si="2"/>
        <v>91</v>
      </c>
    </row>
    <row r="14" spans="1:19" x14ac:dyDescent="0.25">
      <c r="A14" t="s">
        <v>46</v>
      </c>
      <c r="B14" t="s">
        <v>48</v>
      </c>
      <c r="C14" s="1" t="s">
        <v>116</v>
      </c>
      <c r="D14" s="21">
        <v>39.261351557615413</v>
      </c>
      <c r="I14" s="15" t="str">
        <f t="shared" si="0"/>
        <v>עינב זהבי</v>
      </c>
      <c r="J14" s="2" t="str">
        <f t="shared" si="1"/>
        <v>2168644</v>
      </c>
      <c r="K14" s="16">
        <f t="shared" si="2"/>
        <v>40</v>
      </c>
    </row>
    <row r="15" spans="1:19" x14ac:dyDescent="0.25">
      <c r="A15" t="s">
        <v>99</v>
      </c>
      <c r="B15" t="s">
        <v>49</v>
      </c>
      <c r="C15" s="1">
        <v>321648</v>
      </c>
      <c r="D15" s="21">
        <v>6.9248706096063373</v>
      </c>
      <c r="I15" s="15" t="str">
        <f t="shared" si="0"/>
        <v>ליטל חמו</v>
      </c>
      <c r="J15" s="2">
        <f t="shared" si="1"/>
        <v>321648</v>
      </c>
      <c r="K15" s="16">
        <f t="shared" si="2"/>
        <v>7</v>
      </c>
    </row>
    <row r="16" spans="1:19" x14ac:dyDescent="0.25">
      <c r="A16" t="s">
        <v>100</v>
      </c>
      <c r="B16" t="s">
        <v>50</v>
      </c>
      <c r="C16" s="1" t="s">
        <v>117</v>
      </c>
      <c r="D16" s="21">
        <v>46.018009910859554</v>
      </c>
      <c r="I16" s="15" t="str">
        <f t="shared" si="0"/>
        <v>מאיה טננבאום</v>
      </c>
      <c r="J16" s="2" t="str">
        <f t="shared" si="1"/>
        <v>132465</v>
      </c>
      <c r="K16" s="16">
        <f t="shared" si="2"/>
        <v>47</v>
      </c>
    </row>
    <row r="17" spans="1:11" x14ac:dyDescent="0.25">
      <c r="A17" t="s">
        <v>101</v>
      </c>
      <c r="B17" t="s">
        <v>51</v>
      </c>
      <c r="C17" s="1">
        <v>5921635</v>
      </c>
      <c r="D17" s="21">
        <v>11.62</v>
      </c>
      <c r="I17" s="15" t="str">
        <f t="shared" si="0"/>
        <v>דפנה בנאי</v>
      </c>
      <c r="J17" s="2">
        <f t="shared" si="1"/>
        <v>5921635</v>
      </c>
      <c r="K17" s="16">
        <f t="shared" si="2"/>
        <v>12</v>
      </c>
    </row>
    <row r="18" spans="1:11" x14ac:dyDescent="0.25">
      <c r="A18" t="s">
        <v>102</v>
      </c>
      <c r="B18" t="s">
        <v>44</v>
      </c>
      <c r="C18" s="1">
        <v>329676</v>
      </c>
      <c r="D18" s="21">
        <v>88.033114005587805</v>
      </c>
      <c r="I18" s="15" t="str">
        <f t="shared" si="0"/>
        <v>אושרת לוי</v>
      </c>
      <c r="J18" s="2">
        <f t="shared" si="1"/>
        <v>329676</v>
      </c>
      <c r="K18" s="16">
        <f t="shared" si="2"/>
        <v>89</v>
      </c>
    </row>
    <row r="19" spans="1:11" x14ac:dyDescent="0.25">
      <c r="A19" t="s">
        <v>103</v>
      </c>
      <c r="B19" t="s">
        <v>52</v>
      </c>
      <c r="C19" s="1" t="s">
        <v>119</v>
      </c>
      <c r="D19" s="21">
        <v>32.014803002754036</v>
      </c>
      <c r="I19" s="15" t="str">
        <f t="shared" si="0"/>
        <v>דינה חינאוי</v>
      </c>
      <c r="J19" s="2" t="str">
        <f t="shared" si="1"/>
        <v>6324638</v>
      </c>
      <c r="K19" s="16">
        <f t="shared" si="2"/>
        <v>33</v>
      </c>
    </row>
    <row r="20" spans="1:11" x14ac:dyDescent="0.25">
      <c r="A20" t="s">
        <v>104</v>
      </c>
      <c r="B20" t="s">
        <v>53</v>
      </c>
      <c r="C20" s="1" t="s">
        <v>118</v>
      </c>
      <c r="D20" s="21">
        <v>73.650000000000006</v>
      </c>
      <c r="I20" s="15" t="str">
        <f t="shared" si="0"/>
        <v>אשר עידן</v>
      </c>
      <c r="J20" s="2" t="str">
        <f t="shared" si="1"/>
        <v>65468</v>
      </c>
      <c r="K20" s="16">
        <f t="shared" si="2"/>
        <v>74</v>
      </c>
    </row>
    <row r="21" spans="1:11" x14ac:dyDescent="0.25">
      <c r="A21" t="s">
        <v>105</v>
      </c>
      <c r="B21" t="s">
        <v>54</v>
      </c>
      <c r="C21" s="1" t="s">
        <v>120</v>
      </c>
      <c r="D21" s="21">
        <v>52.969557964560288</v>
      </c>
      <c r="I21" s="15" t="str">
        <f t="shared" si="0"/>
        <v>טוני עזריאל</v>
      </c>
      <c r="J21" s="2" t="str">
        <f t="shared" si="1"/>
        <v>321335</v>
      </c>
      <c r="K21" s="16">
        <f t="shared" si="2"/>
        <v>53</v>
      </c>
    </row>
    <row r="22" spans="1:11" x14ac:dyDescent="0.25">
      <c r="A22" t="s">
        <v>106</v>
      </c>
      <c r="B22" t="s">
        <v>55</v>
      </c>
      <c r="C22" s="1" t="s">
        <v>121</v>
      </c>
      <c r="D22" s="21">
        <v>70.556913531587753</v>
      </c>
      <c r="I22" s="15" t="str">
        <f t="shared" si="0"/>
        <v>דודו בשן</v>
      </c>
      <c r="J22" s="2" t="str">
        <f t="shared" si="1"/>
        <v>54456</v>
      </c>
      <c r="K22" s="16">
        <f t="shared" si="2"/>
        <v>71</v>
      </c>
    </row>
    <row r="23" spans="1:11" x14ac:dyDescent="0.25">
      <c r="A23" t="s">
        <v>107</v>
      </c>
      <c r="B23" t="s">
        <v>56</v>
      </c>
      <c r="C23" s="1" t="s">
        <v>122</v>
      </c>
      <c r="D23" s="21">
        <v>16.321839867647636</v>
      </c>
      <c r="I23" s="15" t="str">
        <f t="shared" si="0"/>
        <v>תום פרדס</v>
      </c>
      <c r="J23" s="2" t="str">
        <f t="shared" si="1"/>
        <v>3213</v>
      </c>
      <c r="K23" s="16">
        <f t="shared" si="2"/>
        <v>17</v>
      </c>
    </row>
    <row r="24" spans="1:11" x14ac:dyDescent="0.25">
      <c r="D24" s="12"/>
    </row>
    <row r="25" spans="1:11" x14ac:dyDescent="0.25">
      <c r="D25" s="12"/>
    </row>
    <row r="26" spans="1:11" x14ac:dyDescent="0.25">
      <c r="D26" s="12"/>
      <c r="J26" s="22"/>
      <c r="K26" s="22"/>
    </row>
    <row r="27" spans="1:11" x14ac:dyDescent="0.25">
      <c r="D27" s="12"/>
      <c r="J27" s="23"/>
      <c r="K27" s="23"/>
    </row>
    <row r="28" spans="1:11" x14ac:dyDescent="0.25">
      <c r="D28" s="12"/>
      <c r="J28" s="23"/>
      <c r="K28" s="23"/>
    </row>
    <row r="29" spans="1:11" x14ac:dyDescent="0.25">
      <c r="J29" s="23"/>
      <c r="K29" s="23"/>
    </row>
    <row r="30" spans="1:11" x14ac:dyDescent="0.25">
      <c r="J30" s="23"/>
      <c r="K30" s="23"/>
    </row>
    <row r="31" spans="1:11" x14ac:dyDescent="0.25">
      <c r="J31" s="23"/>
      <c r="K31" s="23"/>
    </row>
    <row r="32" spans="1:11" x14ac:dyDescent="0.25">
      <c r="J32" s="23"/>
      <c r="K32" s="23"/>
    </row>
    <row r="33" spans="10:11" x14ac:dyDescent="0.25">
      <c r="J33" s="23"/>
      <c r="K33" s="23"/>
    </row>
    <row r="34" spans="10:11" x14ac:dyDescent="0.25">
      <c r="J34" s="23"/>
      <c r="K34" s="23"/>
    </row>
    <row r="35" spans="10:11" x14ac:dyDescent="0.25">
      <c r="K35" s="23"/>
    </row>
  </sheetData>
  <phoneticPr fontId="3" type="noConversion"/>
  <pageMargins left="0.75" right="0.75" top="1" bottom="1" header="0.5" footer="0.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6</vt:i4>
      </vt:variant>
    </vt:vector>
  </HeadingPairs>
  <TitlesOfParts>
    <vt:vector size="6" baseType="lpstr">
      <vt:lpstr>conditional formatting</vt:lpstr>
      <vt:lpstr> טבלת ציר</vt:lpstr>
      <vt:lpstr>נתונים לטבלת ציר</vt:lpstr>
      <vt:lpstr>תשובות לטבלת ציר</vt:lpstr>
      <vt:lpstr>חיזוי</vt:lpstr>
      <vt:lpstr>עבודה אישית</vt:lpstr>
    </vt:vector>
  </TitlesOfParts>
  <Manager>רוני ויצמן</Manager>
  <Company>אב"ג המחלקה להנדסת תעו"נ</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97</dc:title>
  <dc:subject>קובץ תרגילים</dc:subject>
  <dc:creator>אורלי יהלום ושרייבר גיא</dc:creator>
  <cp:lastModifiedBy>USER</cp:lastModifiedBy>
  <cp:lastPrinted>2007-10-14T13:15:43Z</cp:lastPrinted>
  <dcterms:created xsi:type="dcterms:W3CDTF">1997-12-19T10:16:43Z</dcterms:created>
  <dcterms:modified xsi:type="dcterms:W3CDTF">2019-11-24T17:56:12Z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gt;&lt;version val=&quot;15545&quot;/&gt;&lt;partner val=&quot;530&quot;/&gt;&lt;CXlWorkbook id=&quot;1&quot;&gt;&lt;m_cxllink/&gt;&lt;/CXlWorkbook&gt;&lt;/root&gt;">
    <vt:lpwstr/>
  </property>
</Properties>
</file>